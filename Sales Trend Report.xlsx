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esktop\"/>
    </mc:Choice>
  </mc:AlternateContent>
  <bookViews>
    <workbookView xWindow="0" yWindow="0" windowWidth="20490" windowHeight="7095" activeTab="2"/>
  </bookViews>
  <sheets>
    <sheet name="Raw Data" sheetId="1" r:id="rId1"/>
    <sheet name="Data Table" sheetId="2" r:id="rId2"/>
    <sheet name="Sales Trend Report" sheetId="4" r:id="rId3"/>
  </sheets>
  <definedNames>
    <definedName name="Slicer_Product">#N/A</definedName>
    <definedName name="Slicer_Region">#N/A</definedName>
    <definedName name="Slicer_Salesperson">#N/A</definedName>
  </definedNames>
  <calcPr calcId="162913"/>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2" l="1"/>
  <c r="G12" i="2"/>
  <c r="F12" i="2"/>
</calcChain>
</file>

<file path=xl/sharedStrings.xml><?xml version="1.0" encoding="utf-8"?>
<sst xmlns="http://schemas.openxmlformats.org/spreadsheetml/2006/main" count="78" uniqueCount="22">
  <si>
    <t>Date</t>
  </si>
  <si>
    <t>Region</t>
  </si>
  <si>
    <t>Salesperson</t>
  </si>
  <si>
    <t>Product</t>
  </si>
  <si>
    <t>Units Sold</t>
  </si>
  <si>
    <t>Unit Price</t>
  </si>
  <si>
    <t>Total Sales</t>
  </si>
  <si>
    <t>North</t>
  </si>
  <si>
    <t>Ali</t>
  </si>
  <si>
    <t>Laptop</t>
  </si>
  <si>
    <t>South</t>
  </si>
  <si>
    <t>Sara</t>
  </si>
  <si>
    <t>Mobile</t>
  </si>
  <si>
    <t>East</t>
  </si>
  <si>
    <t>Ahmed</t>
  </si>
  <si>
    <t>Tablet</t>
  </si>
  <si>
    <t>West</t>
  </si>
  <si>
    <t>Ayesha</t>
  </si>
  <si>
    <t>Grand Total</t>
  </si>
  <si>
    <t>Days</t>
  </si>
  <si>
    <t xml:space="preserve"> Total Sales</t>
  </si>
  <si>
    <t>Sales Trend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</si>
</sst>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72" formatCode="_-[$Rs-420]\ * #,##0_-;\-[$Rs-420]\ * #,##0_-;_-[$Rs-420]\ * &quot;-&quot;??_-;_-@_-"/>
    <numFmt numFmtId="174" formatCode="_(&quot;$&quot;* #,##0_);_(&quot;$&quot;* \(#,##0\);_(&quot;$&quot;* &quot;-&quot;??_);_(@_)"/>
  </numFmts>
  <fonts count="4" x14ac:knownFonts="1">
    <font>
      <sz val="11"/>
      <color theme="1"/>
      <name val="Arial"/>
      <family val="2"/>
      <scheme val="minor"/>
    </font>
    <font>
      <sz val="11"/>
      <color theme="1"/>
      <name val="Arial"/>
      <family val="2"/>
      <scheme val="minor"/>
    </font>
    <font>
      <b/>
      <sz val="11"/>
      <color theme="1"/>
      <name val="Arial"/>
      <family val="2"/>
      <scheme val="minor"/>
    </font>
    <font>
      <b/>
      <sz val="16"/>
      <color theme="0"/>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2" fillId="0" borderId="0" xfId="0" applyFont="1" applyAlignment="1">
      <alignment horizontal="center" vertical="center" wrapText="1"/>
    </xf>
    <xf numFmtId="15" fontId="0" fillId="0" borderId="0" xfId="0" applyNumberFormat="1" applyAlignment="1">
      <alignment vertical="center" wrapText="1"/>
    </xf>
    <xf numFmtId="0" fontId="0" fillId="0" borderId="0" xfId="0"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2" xfId="0" applyBorder="1" applyAlignment="1">
      <alignment vertical="center" wrapText="1"/>
    </xf>
    <xf numFmtId="0" fontId="0" fillId="0" borderId="0" xfId="0" applyNumberFormat="1" applyAlignment="1">
      <alignment vertical="center" wrapText="1"/>
    </xf>
    <xf numFmtId="0" fontId="0" fillId="0" borderId="1" xfId="0" applyNumberFormat="1" applyBorder="1" applyAlignment="1">
      <alignment vertical="center" wrapText="1"/>
    </xf>
    <xf numFmtId="0" fontId="0" fillId="2" borderId="1" xfId="0" applyNumberFormat="1" applyFill="1" applyBorder="1" applyAlignment="1">
      <alignment vertical="center" wrapText="1"/>
    </xf>
    <xf numFmtId="172" fontId="0" fillId="0" borderId="0" xfId="2" applyNumberFormat="1" applyFont="1" applyAlignment="1">
      <alignment vertical="center" wrapText="1"/>
    </xf>
    <xf numFmtId="172" fontId="0" fillId="0" borderId="0" xfId="1" applyNumberFormat="1" applyFont="1" applyAlignment="1">
      <alignment vertical="center" wrapText="1"/>
    </xf>
    <xf numFmtId="15" fontId="0" fillId="0" borderId="0" xfId="0" applyNumberFormat="1" applyAlignment="1">
      <alignment horizontal="left"/>
    </xf>
    <xf numFmtId="174" fontId="0" fillId="0" borderId="0" xfId="0" applyNumberFormat="1"/>
    <xf numFmtId="0" fontId="0" fillId="0" borderId="0" xfId="0" pivotButton="1" applyAlignment="1">
      <alignment horizontal="left"/>
    </xf>
    <xf numFmtId="0" fontId="0" fillId="0" borderId="0" xfId="0" applyAlignment="1">
      <alignment horizontal="left"/>
    </xf>
    <xf numFmtId="0" fontId="3" fillId="4" borderId="0" xfId="0" applyFont="1" applyFill="1" applyAlignment="1">
      <alignment horizontal="center"/>
    </xf>
    <xf numFmtId="172" fontId="1" fillId="0" borderId="0" xfId="1" applyNumberFormat="1" applyFont="1" applyAlignment="1">
      <alignment vertical="center" wrapText="1"/>
    </xf>
  </cellXfs>
  <cellStyles count="3">
    <cellStyle name="Currency" xfId="1" builtinId="4"/>
    <cellStyle name="Normal" xfId="0" builtinId="0"/>
    <cellStyle name="Percent" xfId="2" builtinId="5"/>
  </cellStyles>
  <dxfs count="24">
    <dxf>
      <font>
        <b val="0"/>
        <i val="0"/>
        <strike val="0"/>
        <condense val="0"/>
        <extend val="0"/>
        <outline val="0"/>
        <shadow val="0"/>
        <u val="none"/>
        <vertAlign val="baseline"/>
        <sz val="11"/>
        <color theme="1"/>
        <name val="Arial"/>
        <scheme val="minor"/>
      </font>
      <numFmt numFmtId="172" formatCode="_-[$Rs-420]\ * #,##0_-;\-[$Rs-420]\ * #,##0_-;_-[$Rs-420]\ * &quot;-&quot;??_-;_-@_-"/>
      <alignment horizontal="general" vertical="center" textRotation="0" wrapText="1" indent="0" justifyLastLine="0" shrinkToFit="0" readingOrder="0"/>
    </dxf>
    <dxf>
      <font>
        <b val="0"/>
        <i val="0"/>
        <strike val="0"/>
        <condense val="0"/>
        <extend val="0"/>
        <outline val="0"/>
        <shadow val="0"/>
        <u val="none"/>
        <vertAlign val="baseline"/>
        <sz val="11"/>
        <color theme="1"/>
        <name val="Arial"/>
        <scheme val="minor"/>
      </font>
      <numFmt numFmtId="172" formatCode="_-[$Rs-420]\ * #,##0_-;\-[$Rs-420]\ * #,##0_-;_-[$Rs-420]\ * &quot;-&quot;??_-;_-@_-"/>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
      <alignment horizontal="left" readingOrder="0"/>
    </dxf>
    <dxf>
      <alignment horizontal="left" readingOrder="0"/>
    </dxf>
    <dxf>
      <alignment horizontal="left" readingOrder="0"/>
    </dxf>
    <dxf>
      <alignment horizontal="center" readingOrder="0"/>
    </dxf>
    <dxf>
      <alignment horizontal="center" readingOrder="0"/>
    </dxf>
    <dxf>
      <numFmt numFmtId="174" formatCode="_(&quot;$&quot;* #,##0_);_(&quot;$&quot;* \(#,##0\);_(&quot;$&quot;* &quot;-&quot;??_);_(@_)"/>
    </dxf>
    <dxf>
      <numFmt numFmtId="173" formatCode="_(&quot;$&quot;* #,##0.0_);_(&quot;$&quot;* \(#,##0.0\);_(&quot;$&quot;* &quot;-&quot;??_);_(@_)"/>
    </dxf>
    <dxf>
      <numFmt numFmtId="34" formatCode="_(&quot;$&quot;* #,##0.00_);_(&quot;$&quot;* \(#,##0.00\);_(&quot;$&quot;* &quot;-&quot;??_);_(@_)"/>
    </dxf>
    <dxf>
      <numFmt numFmtId="172" formatCode="_-[$Rs-420]\ * #,##0_-;\-[$Rs-420]\ * #,##0_-;_-[$Rs-420]\ * &quot;-&quot;??_-;_-@_-"/>
      <alignment horizontal="general" vertical="center" textRotation="0" wrapText="1" indent="0" justifyLastLine="0" shrinkToFit="0" readingOrder="0"/>
    </dxf>
    <dxf>
      <numFmt numFmtId="172" formatCode="_-[$Rs-420]\ * #,##0_-;\-[$Rs-420]\ * #,##0_-;_-[$Rs-420]\ * &quot;-&quot;??_-;_-@_-"/>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rial"/>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0" formatCode="dd/mmm/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Trend Report.xlsx]Sales Trend Report!PivotTable1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Day -Wise Sales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ur-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Trend 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'Sales Trend Report'!$A$4:$A$9</c:f>
              <c:strCache>
                <c:ptCount val="5"/>
                <c:pt idx="0">
                  <c:v>01-Jan-26</c:v>
                </c:pt>
                <c:pt idx="1">
                  <c:v>02-Jan-26</c:v>
                </c:pt>
                <c:pt idx="2">
                  <c:v>03-Jan-26</c:v>
                </c:pt>
                <c:pt idx="3">
                  <c:v>04-Jan-26</c:v>
                </c:pt>
                <c:pt idx="4">
                  <c:v>05-Jan-26</c:v>
                </c:pt>
              </c:strCache>
            </c:strRef>
          </c:cat>
          <c:val>
            <c:numRef>
              <c:f>'Sales Trend Report'!$B$4:$B$9</c:f>
              <c:numCache>
                <c:formatCode>_("$"* #,##0_);_("$"* \(#,##0\);_("$"* "-"??_);_(@_)</c:formatCode>
                <c:ptCount val="5"/>
                <c:pt idx="0">
                  <c:v>600000</c:v>
                </c:pt>
                <c:pt idx="1">
                  <c:v>340000</c:v>
                </c:pt>
                <c:pt idx="2">
                  <c:v>370000</c:v>
                </c:pt>
                <c:pt idx="3">
                  <c:v>615000</c:v>
                </c:pt>
                <c:pt idx="4">
                  <c:v>500000</c:v>
                </c:pt>
              </c:numCache>
            </c:numRef>
          </c:val>
          <c:extLst>
            <c:ext xmlns:c16="http://schemas.microsoft.com/office/drawing/2014/chart" uri="{C3380CC4-5D6E-409C-BE32-E72D297353CC}">
              <c16:uniqueId val="{00000000-5C4F-41DB-9382-6A3CF11BB9FE}"/>
            </c:ext>
          </c:extLst>
        </c:ser>
        <c:dLbls>
          <c:showLegendKey val="0"/>
          <c:showVal val="0"/>
          <c:showCatName val="0"/>
          <c:showSerName val="0"/>
          <c:showPercent val="0"/>
          <c:showBubbleSize val="0"/>
        </c:dLbls>
        <c:axId val="1983405023"/>
        <c:axId val="1983402527"/>
      </c:areaChart>
      <c:catAx>
        <c:axId val="19834050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Days</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r-PK"/>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r-PK"/>
          </a:p>
        </c:txPr>
        <c:crossAx val="1983402527"/>
        <c:crosses val="autoZero"/>
        <c:auto val="1"/>
        <c:lblAlgn val="ctr"/>
        <c:lblOffset val="100"/>
        <c:noMultiLvlLbl val="0"/>
      </c:catAx>
      <c:valAx>
        <c:axId val="19834025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ur-PK"/>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ur-PK"/>
          </a:p>
        </c:txPr>
        <c:crossAx val="198340502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solidFill>
      <a:round/>
    </a:ln>
    <a:effectLst/>
  </c:spPr>
  <c:txPr>
    <a:bodyPr/>
    <a:lstStyle/>
    <a:p>
      <a:pPr>
        <a:defRPr/>
      </a:pPr>
      <a:endParaRPr lang="ur-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52387</xdr:colOff>
      <xdr:row>9</xdr:row>
      <xdr:rowOff>138112</xdr:rowOff>
    </xdr:from>
    <xdr:to>
      <xdr:col>5</xdr:col>
      <xdr:colOff>438150</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666750</xdr:colOff>
      <xdr:row>0</xdr:row>
      <xdr:rowOff>219075</xdr:rowOff>
    </xdr:from>
    <xdr:to>
      <xdr:col>8</xdr:col>
      <xdr:colOff>438150</xdr:colOff>
      <xdr:row>8</xdr:row>
      <xdr:rowOff>180974</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48175" y="219075"/>
              <a:ext cx="1828800" cy="1485899"/>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466725</xdr:colOff>
      <xdr:row>0</xdr:row>
      <xdr:rowOff>219075</xdr:rowOff>
    </xdr:from>
    <xdr:to>
      <xdr:col>11</xdr:col>
      <xdr:colOff>238125</xdr:colOff>
      <xdr:row>9</xdr:row>
      <xdr:rowOff>0</xdr:rowOff>
    </xdr:to>
    <mc:AlternateContent xmlns:mc="http://schemas.openxmlformats.org/markup-compatibility/2006">
      <mc:Choice xmlns:a14="http://schemas.microsoft.com/office/drawing/2010/main" Requires="a14">
        <xdr:graphicFrame macro="">
          <xdr:nvGraphicFramePr>
            <xdr:cNvPr id="4"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305550" y="219075"/>
              <a:ext cx="1828800" cy="1485900"/>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171450</xdr:colOff>
      <xdr:row>0</xdr:row>
      <xdr:rowOff>219076</xdr:rowOff>
    </xdr:from>
    <xdr:to>
      <xdr:col>5</xdr:col>
      <xdr:colOff>628650</xdr:colOff>
      <xdr:row>7</xdr:row>
      <xdr:rowOff>47625</xdr:rowOff>
    </xdr:to>
    <mc:AlternateContent xmlns:mc="http://schemas.openxmlformats.org/markup-compatibility/2006">
      <mc:Choice xmlns:a14="http://schemas.microsoft.com/office/drawing/2010/main"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581275" y="219076"/>
              <a:ext cx="1828800" cy="1171574"/>
            </a:xfrm>
            <a:prstGeom prst="rect">
              <a:avLst/>
            </a:prstGeom>
            <a:solidFill>
              <a:prstClr val="white"/>
            </a:solidFill>
            <a:ln w="1">
              <a:solidFill>
                <a:prstClr val="green"/>
              </a:solidFill>
            </a:ln>
          </xdr:spPr>
          <xdr:txBody>
            <a:bodyPr vertOverflow="clip" horzOverflow="clip"/>
            <a:lstStyle/>
            <a:p>
              <a:r>
                <a:rPr lang="ur-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76.786316782411" createdVersion="6" refreshedVersion="6" minRefreshableVersion="3" recordCount="10">
  <cacheSource type="worksheet">
    <worksheetSource name="Table1"/>
  </cacheSource>
  <cacheFields count="7">
    <cacheField name="Date" numFmtId="15">
      <sharedItems containsSemiMixedTypes="0" containsNonDate="0" containsDate="1" containsString="0" minDate="2026-01-01T00:00:00" maxDate="2026-01-06T00:00:00" count="5">
        <d v="2026-01-01T00:00:00"/>
        <d v="2026-01-02T00:00:00"/>
        <d v="2026-01-03T00:00:00"/>
        <d v="2026-01-04T00:00:00"/>
        <d v="2026-01-05T00:00:00"/>
      </sharedItems>
    </cacheField>
    <cacheField name="Region" numFmtId="0">
      <sharedItems count="4">
        <s v="North"/>
        <s v="South"/>
        <s v="East"/>
        <s v="West"/>
      </sharedItems>
    </cacheField>
    <cacheField name="Salesperson" numFmtId="0">
      <sharedItems count="4">
        <s v="Ali"/>
        <s v="Sara"/>
        <s v="Ahmed"/>
        <s v="Ayesha"/>
      </sharedItems>
    </cacheField>
    <cacheField name="Product" numFmtId="0">
      <sharedItems count="3">
        <s v="Laptop"/>
        <s v="Mobile"/>
        <s v="Tablet"/>
      </sharedItems>
    </cacheField>
    <cacheField name="Units Sold" numFmtId="0">
      <sharedItems containsSemiMixedTypes="0" containsString="0" containsNumber="1" containsInteger="1" minValue="3" maxValue="15"/>
    </cacheField>
    <cacheField name="Unit Price" numFmtId="172">
      <sharedItems containsSemiMixedTypes="0" containsString="0" containsNumber="1" containsInteger="1" minValue="20000" maxValue="60000"/>
    </cacheField>
    <cacheField name="Total Sales" numFmtId="172">
      <sharedItems containsSemiMixedTypes="0" containsString="0" containsNumber="1" containsInteger="1" minValue="120000" maxValue="375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x v="0"/>
    <x v="0"/>
    <x v="0"/>
    <x v="0"/>
    <n v="5"/>
    <n v="60000"/>
    <n v="300000"/>
  </r>
  <r>
    <x v="0"/>
    <x v="1"/>
    <x v="1"/>
    <x v="1"/>
    <n v="12"/>
    <n v="25000"/>
    <n v="300000"/>
  </r>
  <r>
    <x v="1"/>
    <x v="2"/>
    <x v="2"/>
    <x v="2"/>
    <n v="8"/>
    <n v="20000"/>
    <n v="160000"/>
  </r>
  <r>
    <x v="1"/>
    <x v="3"/>
    <x v="3"/>
    <x v="0"/>
    <n v="3"/>
    <n v="60000"/>
    <n v="180000"/>
  </r>
  <r>
    <x v="2"/>
    <x v="0"/>
    <x v="0"/>
    <x v="1"/>
    <n v="10"/>
    <n v="25000"/>
    <n v="250000"/>
  </r>
  <r>
    <x v="2"/>
    <x v="1"/>
    <x v="1"/>
    <x v="2"/>
    <n v="6"/>
    <n v="20000"/>
    <n v="120000"/>
  </r>
  <r>
    <x v="3"/>
    <x v="2"/>
    <x v="2"/>
    <x v="0"/>
    <n v="4"/>
    <n v="60000"/>
    <n v="240000"/>
  </r>
  <r>
    <x v="3"/>
    <x v="3"/>
    <x v="3"/>
    <x v="1"/>
    <n v="15"/>
    <n v="25000"/>
    <n v="375000"/>
  </r>
  <r>
    <x v="4"/>
    <x v="0"/>
    <x v="0"/>
    <x v="2"/>
    <n v="7"/>
    <n v="20000"/>
    <n v="140000"/>
  </r>
  <r>
    <x v="4"/>
    <x v="1"/>
    <x v="1"/>
    <x v="0"/>
    <n v="6"/>
    <n v="60000"/>
    <n v="3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Days">
  <location ref="A3:B9" firstHeaderRow="1" firstDataRow="1" firstDataCol="1"/>
  <pivotFields count="7">
    <pivotField axis="axisRow" numFmtId="15" showAll="0">
      <items count="6">
        <item x="0"/>
        <item x="1"/>
        <item x="2"/>
        <item x="3"/>
        <item x="4"/>
        <item t="default"/>
      </items>
    </pivotField>
    <pivotField showAll="0">
      <items count="5">
        <item x="2"/>
        <item x="0"/>
        <item x="1"/>
        <item x="3"/>
        <item t="default"/>
      </items>
    </pivotField>
    <pivotField showAll="0">
      <items count="5">
        <item x="2"/>
        <item x="0"/>
        <item x="3"/>
        <item x="1"/>
        <item t="default"/>
      </items>
    </pivotField>
    <pivotField showAll="0">
      <items count="4">
        <item x="0"/>
        <item x="1"/>
        <item x="2"/>
        <item t="default"/>
      </items>
    </pivotField>
    <pivotField showAll="0"/>
    <pivotField numFmtId="172" showAll="0"/>
    <pivotField dataField="1" numFmtId="172" showAll="0"/>
  </pivotFields>
  <rowFields count="1">
    <field x="0"/>
  </rowFields>
  <rowItems count="6">
    <i>
      <x/>
    </i>
    <i>
      <x v="1"/>
    </i>
    <i>
      <x v="2"/>
    </i>
    <i>
      <x v="3"/>
    </i>
    <i>
      <x v="4"/>
    </i>
    <i t="grand">
      <x/>
    </i>
  </rowItems>
  <colItems count="1">
    <i/>
  </colItems>
  <dataFields count="1">
    <dataField name=" Total Sales" fld="6" baseField="0" baseItem="0" numFmtId="174"/>
  </dataFields>
  <formats count="8">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field="0" type="button" dataOnly="0" labelOnly="1" outline="0" axis="axisRow" fieldPosition="0"/>
    </format>
    <format dxfId="10">
      <pivotArea dataOnly="0" outline="0" axis="axisValues" fieldPosition="0"/>
    </format>
    <format dxfId="9">
      <pivotArea field="0" type="button" dataOnly="0" labelOnly="1" outline="0" axis="axisRow" fieldPosition="0"/>
    </format>
    <format dxfId="8">
      <pivotArea dataOnly="0" labelOnly="1" outline="0" axis="axisValues" fieldPosition="0"/>
    </format>
    <format dxfId="7">
      <pivotArea dataOnly="0" labelOnly="1" outline="0" axis="axisValues"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4" name="PivotTable1"/>
  </pivotTables>
  <data>
    <tabular pivotCacheId="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alesperson" cache="Slicer_Salesperson" caption="Salesperson" rowHeight="241300"/>
  <slicer name="Product" cache="Slicer_Product" caption="Product" rowHeight="241300"/>
</slicers>
</file>

<file path=xl/tables/table1.xml><?xml version="1.0" encoding="utf-8"?>
<table xmlns="http://schemas.openxmlformats.org/spreadsheetml/2006/main" id="1" name="Table1" displayName="Table1" ref="A1:G12" totalsRowCount="1" headerRowDxfId="18" dataDxfId="19">
  <autoFilter ref="A1:G12"/>
  <tableColumns count="7">
    <tableColumn id="1" name="Date" dataDxfId="23" totalsRowDxfId="6"/>
    <tableColumn id="2" name="Region" dataDxfId="22" totalsRowDxfId="5"/>
    <tableColumn id="3" name="Salesperson" dataDxfId="21" totalsRowDxfId="4"/>
    <tableColumn id="4" name="Product" dataDxfId="20" totalsRowDxfId="3"/>
    <tableColumn id="5" name="Units Sold" dataDxfId="17" totalsRowDxfId="2"/>
    <tableColumn id="6" name="Unit Price" totalsRowFunction="custom" dataDxfId="16" totalsRowDxfId="1" dataCellStyle="Percent">
      <totalsRowFormula>SUM(Table1[Unit Price])</totalsRowFormula>
    </tableColumn>
    <tableColumn id="7" name="Total Sales" totalsRowFunction="sum" dataDxfId="15" totalsRow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D15" sqref="D15"/>
    </sheetView>
  </sheetViews>
  <sheetFormatPr defaultRowHeight="14.25" x14ac:dyDescent="0.2"/>
  <cols>
    <col min="3" max="3" width="13.375" customWidth="1"/>
    <col min="5" max="5" width="16" customWidth="1"/>
    <col min="6" max="6" width="14.5" customWidth="1"/>
    <col min="7" max="7" width="14.625" customWidth="1"/>
  </cols>
  <sheetData>
    <row r="1" spans="1:7" ht="15" x14ac:dyDescent="0.2">
      <c r="A1" s="1" t="s">
        <v>0</v>
      </c>
      <c r="B1" s="1" t="s">
        <v>1</v>
      </c>
      <c r="C1" s="1" t="s">
        <v>2</v>
      </c>
      <c r="D1" s="1" t="s">
        <v>3</v>
      </c>
      <c r="E1" s="1" t="s">
        <v>4</v>
      </c>
      <c r="F1" s="1" t="s">
        <v>5</v>
      </c>
      <c r="G1" s="1" t="s">
        <v>6</v>
      </c>
    </row>
    <row r="2" spans="1:7" x14ac:dyDescent="0.2">
      <c r="A2" s="10">
        <v>46023</v>
      </c>
      <c r="B2" s="3" t="s">
        <v>7</v>
      </c>
      <c r="C2" s="5" t="s">
        <v>8</v>
      </c>
      <c r="D2" s="3" t="s">
        <v>9</v>
      </c>
      <c r="E2" s="3">
        <v>5</v>
      </c>
      <c r="F2" s="5">
        <v>60000</v>
      </c>
      <c r="G2" s="3">
        <v>300000</v>
      </c>
    </row>
    <row r="3" spans="1:7" x14ac:dyDescent="0.2">
      <c r="A3" s="10">
        <v>46023</v>
      </c>
      <c r="B3" s="3" t="s">
        <v>10</v>
      </c>
      <c r="C3" s="3" t="s">
        <v>11</v>
      </c>
      <c r="D3" s="4" t="s">
        <v>12</v>
      </c>
      <c r="E3" s="3">
        <v>12</v>
      </c>
      <c r="F3" s="5">
        <v>25000</v>
      </c>
      <c r="G3" s="3">
        <v>300000</v>
      </c>
    </row>
    <row r="4" spans="1:7" x14ac:dyDescent="0.2">
      <c r="A4" s="11">
        <v>46024</v>
      </c>
      <c r="B4" s="3" t="s">
        <v>13</v>
      </c>
      <c r="C4" s="3" t="s">
        <v>14</v>
      </c>
      <c r="D4" s="3" t="s">
        <v>15</v>
      </c>
      <c r="E4" s="3">
        <v>8</v>
      </c>
      <c r="F4" s="6">
        <v>20000</v>
      </c>
      <c r="G4" s="4">
        <v>160000</v>
      </c>
    </row>
    <row r="5" spans="1:7" x14ac:dyDescent="0.2">
      <c r="A5" s="11"/>
      <c r="B5" s="3"/>
      <c r="C5" s="3"/>
      <c r="D5" s="3"/>
      <c r="E5" s="5"/>
      <c r="F5" s="6"/>
      <c r="G5" s="3"/>
    </row>
    <row r="6" spans="1:7" x14ac:dyDescent="0.2">
      <c r="A6" s="12">
        <v>46024</v>
      </c>
      <c r="B6" s="9" t="s">
        <v>16</v>
      </c>
      <c r="C6" s="6" t="s">
        <v>17</v>
      </c>
      <c r="D6" s="3" t="s">
        <v>9</v>
      </c>
      <c r="E6" s="3">
        <v>3</v>
      </c>
      <c r="F6" s="6">
        <v>60000</v>
      </c>
      <c r="G6" s="3">
        <v>180000</v>
      </c>
    </row>
    <row r="7" spans="1:7" x14ac:dyDescent="0.2">
      <c r="A7" s="11"/>
      <c r="B7" s="9"/>
      <c r="C7" s="6"/>
      <c r="D7" s="3"/>
      <c r="E7" s="3"/>
      <c r="F7" s="3"/>
      <c r="G7" s="3"/>
    </row>
    <row r="8" spans="1:7" x14ac:dyDescent="0.2">
      <c r="A8" s="10">
        <v>46025</v>
      </c>
      <c r="B8" s="3" t="s">
        <v>7</v>
      </c>
      <c r="C8" s="3" t="s">
        <v>8</v>
      </c>
      <c r="D8" s="3" t="s">
        <v>12</v>
      </c>
      <c r="E8" s="3">
        <v>10</v>
      </c>
      <c r="F8" s="3">
        <v>25000</v>
      </c>
      <c r="G8" s="5">
        <v>250000</v>
      </c>
    </row>
    <row r="9" spans="1:7" x14ac:dyDescent="0.2">
      <c r="A9" s="10">
        <v>46025</v>
      </c>
      <c r="B9" s="3" t="s">
        <v>10</v>
      </c>
      <c r="C9" s="4" t="s">
        <v>11</v>
      </c>
      <c r="D9" s="3" t="s">
        <v>15</v>
      </c>
      <c r="E9" s="7">
        <v>6</v>
      </c>
      <c r="F9" s="3">
        <v>20000</v>
      </c>
      <c r="G9" s="3">
        <v>120000</v>
      </c>
    </row>
    <row r="10" spans="1:7" x14ac:dyDescent="0.2">
      <c r="A10" s="10">
        <v>46026</v>
      </c>
      <c r="B10" s="3" t="s">
        <v>13</v>
      </c>
      <c r="C10" s="4" t="s">
        <v>14</v>
      </c>
      <c r="D10" s="3" t="s">
        <v>9</v>
      </c>
      <c r="E10" s="6">
        <v>4</v>
      </c>
      <c r="F10" s="3">
        <v>60000</v>
      </c>
      <c r="G10" s="4">
        <v>240000</v>
      </c>
    </row>
    <row r="11" spans="1:7" x14ac:dyDescent="0.2">
      <c r="A11" s="10">
        <v>46026</v>
      </c>
      <c r="B11" s="3" t="s">
        <v>16</v>
      </c>
      <c r="C11" s="3" t="s">
        <v>17</v>
      </c>
      <c r="D11" s="3" t="s">
        <v>12</v>
      </c>
      <c r="E11" s="8">
        <v>15</v>
      </c>
      <c r="F11" s="3">
        <v>25000</v>
      </c>
      <c r="G11" s="3">
        <v>375000</v>
      </c>
    </row>
    <row r="12" spans="1:7" x14ac:dyDescent="0.2">
      <c r="A12" s="10"/>
      <c r="B12" s="3"/>
      <c r="C12" s="3"/>
      <c r="D12" s="3"/>
      <c r="E12" s="8"/>
      <c r="F12" s="3"/>
      <c r="G12" s="3"/>
    </row>
    <row r="13" spans="1:7" x14ac:dyDescent="0.2">
      <c r="A13" s="10">
        <v>46027</v>
      </c>
      <c r="B13" s="3" t="s">
        <v>7</v>
      </c>
      <c r="C13" s="3" t="s">
        <v>8</v>
      </c>
      <c r="D13" s="3" t="s">
        <v>15</v>
      </c>
      <c r="E13" s="8">
        <v>7</v>
      </c>
      <c r="F13" s="3">
        <v>20000</v>
      </c>
      <c r="G13" s="3">
        <v>140000</v>
      </c>
    </row>
    <row r="14" spans="1:7" x14ac:dyDescent="0.2">
      <c r="A14" s="10">
        <v>46027</v>
      </c>
      <c r="B14" s="3" t="s">
        <v>10</v>
      </c>
      <c r="C14" s="3" t="s">
        <v>11</v>
      </c>
      <c r="D14" s="3" t="s">
        <v>9</v>
      </c>
      <c r="E14" s="3">
        <v>6</v>
      </c>
      <c r="F14" s="3">
        <v>60000</v>
      </c>
      <c r="G14" s="3">
        <v>360000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G16" sqref="G16"/>
    </sheetView>
  </sheetViews>
  <sheetFormatPr defaultRowHeight="14.25" x14ac:dyDescent="0.2"/>
  <cols>
    <col min="2" max="2" width="11.25" bestFit="1" customWidth="1"/>
    <col min="3" max="3" width="16" bestFit="1" customWidth="1"/>
    <col min="4" max="4" width="11.875" bestFit="1" customWidth="1"/>
    <col min="5" max="5" width="14" bestFit="1" customWidth="1"/>
    <col min="6" max="6" width="13.625" bestFit="1" customWidth="1"/>
    <col min="7" max="7" width="14.75" bestFit="1" customWidth="1"/>
  </cols>
  <sheetData>
    <row r="1" spans="1:7" ht="15" x14ac:dyDescent="0.2">
      <c r="A1" s="1" t="s">
        <v>0</v>
      </c>
      <c r="B1" s="1" t="s">
        <v>1</v>
      </c>
      <c r="C1" s="1" t="s">
        <v>2</v>
      </c>
      <c r="D1" s="1" t="s">
        <v>3</v>
      </c>
      <c r="E1" s="1" t="s">
        <v>4</v>
      </c>
      <c r="F1" s="1" t="s">
        <v>5</v>
      </c>
      <c r="G1" s="1" t="s">
        <v>6</v>
      </c>
    </row>
    <row r="2" spans="1:7" x14ac:dyDescent="0.2">
      <c r="A2" s="2">
        <v>46023</v>
      </c>
      <c r="B2" s="3" t="s">
        <v>7</v>
      </c>
      <c r="C2" s="3" t="s">
        <v>8</v>
      </c>
      <c r="D2" s="3" t="s">
        <v>9</v>
      </c>
      <c r="E2" s="3">
        <v>5</v>
      </c>
      <c r="F2" s="13">
        <v>60000</v>
      </c>
      <c r="G2" s="14">
        <v>300000</v>
      </c>
    </row>
    <row r="3" spans="1:7" x14ac:dyDescent="0.2">
      <c r="A3" s="2">
        <f>Table1[[#Totals],[Unit Price]]</f>
        <v>375000</v>
      </c>
      <c r="B3" s="3" t="s">
        <v>10</v>
      </c>
      <c r="C3" s="3" t="s">
        <v>11</v>
      </c>
      <c r="D3" s="3" t="s">
        <v>12</v>
      </c>
      <c r="E3" s="3">
        <v>12</v>
      </c>
      <c r="F3" s="13">
        <v>25000</v>
      </c>
      <c r="G3" s="14">
        <v>300000</v>
      </c>
    </row>
    <row r="4" spans="1:7" x14ac:dyDescent="0.2">
      <c r="A4" s="2">
        <v>46024</v>
      </c>
      <c r="B4" s="3" t="s">
        <v>13</v>
      </c>
      <c r="C4" s="3" t="s">
        <v>14</v>
      </c>
      <c r="D4" s="3" t="s">
        <v>15</v>
      </c>
      <c r="E4" s="3">
        <v>8</v>
      </c>
      <c r="F4" s="13">
        <v>20000</v>
      </c>
      <c r="G4" s="14">
        <v>160000</v>
      </c>
    </row>
    <row r="5" spans="1:7" x14ac:dyDescent="0.2">
      <c r="A5" s="2">
        <v>46024</v>
      </c>
      <c r="B5" s="3" t="s">
        <v>16</v>
      </c>
      <c r="C5" s="3" t="s">
        <v>17</v>
      </c>
      <c r="D5" s="3" t="s">
        <v>9</v>
      </c>
      <c r="E5" s="3">
        <v>3</v>
      </c>
      <c r="F5" s="13">
        <v>60000</v>
      </c>
      <c r="G5" s="14">
        <v>180000</v>
      </c>
    </row>
    <row r="6" spans="1:7" x14ac:dyDescent="0.2">
      <c r="A6" s="2">
        <v>46025</v>
      </c>
      <c r="B6" s="3" t="s">
        <v>7</v>
      </c>
      <c r="C6" s="3" t="s">
        <v>8</v>
      </c>
      <c r="D6" s="3" t="s">
        <v>12</v>
      </c>
      <c r="E6" s="3">
        <v>10</v>
      </c>
      <c r="F6" s="13">
        <v>25000</v>
      </c>
      <c r="G6" s="14">
        <v>250000</v>
      </c>
    </row>
    <row r="7" spans="1:7" x14ac:dyDescent="0.2">
      <c r="A7" s="2">
        <v>46025</v>
      </c>
      <c r="B7" s="3" t="s">
        <v>10</v>
      </c>
      <c r="C7" s="3" t="s">
        <v>11</v>
      </c>
      <c r="D7" s="3" t="s">
        <v>15</v>
      </c>
      <c r="E7" s="3">
        <v>6</v>
      </c>
      <c r="F7" s="13">
        <v>20000</v>
      </c>
      <c r="G7" s="14">
        <v>120000</v>
      </c>
    </row>
    <row r="8" spans="1:7" x14ac:dyDescent="0.2">
      <c r="A8" s="2">
        <v>46026</v>
      </c>
      <c r="B8" s="3" t="s">
        <v>13</v>
      </c>
      <c r="C8" s="3" t="s">
        <v>14</v>
      </c>
      <c r="D8" s="3" t="s">
        <v>9</v>
      </c>
      <c r="E8" s="3">
        <v>4</v>
      </c>
      <c r="F8" s="13">
        <v>60000</v>
      </c>
      <c r="G8" s="14">
        <v>240000</v>
      </c>
    </row>
    <row r="9" spans="1:7" x14ac:dyDescent="0.2">
      <c r="A9" s="2">
        <v>46026</v>
      </c>
      <c r="B9" s="3" t="s">
        <v>16</v>
      </c>
      <c r="C9" s="3" t="s">
        <v>17</v>
      </c>
      <c r="D9" s="3" t="s">
        <v>12</v>
      </c>
      <c r="E9" s="3">
        <v>15</v>
      </c>
      <c r="F9" s="13">
        <v>25000</v>
      </c>
      <c r="G9" s="14">
        <v>375000</v>
      </c>
    </row>
    <row r="10" spans="1:7" x14ac:dyDescent="0.2">
      <c r="A10" s="2">
        <v>46027</v>
      </c>
      <c r="B10" s="3" t="s">
        <v>7</v>
      </c>
      <c r="C10" s="3" t="s">
        <v>8</v>
      </c>
      <c r="D10" s="3" t="s">
        <v>15</v>
      </c>
      <c r="E10" s="3">
        <v>7</v>
      </c>
      <c r="F10" s="13">
        <v>20000</v>
      </c>
      <c r="G10" s="14">
        <v>140000</v>
      </c>
    </row>
    <row r="11" spans="1:7" x14ac:dyDescent="0.2">
      <c r="A11" s="2">
        <v>46027</v>
      </c>
      <c r="B11" s="3" t="s">
        <v>10</v>
      </c>
      <c r="C11" s="3" t="s">
        <v>11</v>
      </c>
      <c r="D11" s="3" t="s">
        <v>9</v>
      </c>
      <c r="E11" s="3">
        <v>6</v>
      </c>
      <c r="F11" s="13">
        <v>60000</v>
      </c>
      <c r="G11" s="14">
        <v>360000</v>
      </c>
    </row>
    <row r="12" spans="1:7" ht="15" x14ac:dyDescent="0.2">
      <c r="A12" s="2"/>
      <c r="B12" s="3"/>
      <c r="C12" s="3"/>
      <c r="D12" s="3"/>
      <c r="E12" s="3"/>
      <c r="F12" s="13">
        <f>SUM(Table1[Unit Price])</f>
        <v>375000</v>
      </c>
      <c r="G12" s="20">
        <f>SUBTOTAL(109,Table1[Total Sales])</f>
        <v>2425000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workbookViewId="0">
      <selection activeCell="N14" sqref="N14"/>
    </sheetView>
  </sheetViews>
  <sheetFormatPr defaultRowHeight="14.25" x14ac:dyDescent="0.2"/>
  <cols>
    <col min="1" max="1" width="11.375" customWidth="1"/>
    <col min="2" max="2" width="11.25" customWidth="1"/>
  </cols>
  <sheetData>
    <row r="1" spans="1:3" ht="20.25" x14ac:dyDescent="0.3">
      <c r="A1" s="19" t="s">
        <v>21</v>
      </c>
      <c r="B1" s="19"/>
      <c r="C1" s="19"/>
    </row>
    <row r="3" spans="1:3" x14ac:dyDescent="0.2">
      <c r="A3" s="17" t="s">
        <v>19</v>
      </c>
      <c r="B3" s="18" t="s">
        <v>20</v>
      </c>
    </row>
    <row r="4" spans="1:3" x14ac:dyDescent="0.2">
      <c r="A4" s="15">
        <v>46023</v>
      </c>
      <c r="B4" s="16">
        <v>600000</v>
      </c>
    </row>
    <row r="5" spans="1:3" x14ac:dyDescent="0.2">
      <c r="A5" s="15">
        <v>46024</v>
      </c>
      <c r="B5" s="16">
        <v>340000</v>
      </c>
    </row>
    <row r="6" spans="1:3" x14ac:dyDescent="0.2">
      <c r="A6" s="15">
        <v>46025</v>
      </c>
      <c r="B6" s="16">
        <v>370000</v>
      </c>
    </row>
    <row r="7" spans="1:3" x14ac:dyDescent="0.2">
      <c r="A7" s="15">
        <v>46026</v>
      </c>
      <c r="B7" s="16">
        <v>615000</v>
      </c>
    </row>
    <row r="8" spans="1:3" x14ac:dyDescent="0.2">
      <c r="A8" s="15">
        <v>46027</v>
      </c>
      <c r="B8" s="16">
        <v>500000</v>
      </c>
    </row>
    <row r="9" spans="1:3" x14ac:dyDescent="0.2">
      <c r="A9" s="15" t="s">
        <v>18</v>
      </c>
      <c r="B9" s="16">
        <v>2425000</v>
      </c>
    </row>
  </sheetData>
  <mergeCells count="1">
    <mergeCell ref="A1:C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 Table</vt:lpstr>
      <vt:lpstr>Sales Trend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2026-02-23T13:43:11Z</dcterms:created>
  <dcterms:modified xsi:type="dcterms:W3CDTF">2026-02-23T14:13:02Z</dcterms:modified>
</cp:coreProperties>
</file>