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15" windowHeight="7065" activeTab="3"/>
  </bookViews>
  <sheets>
    <sheet name="Raw" sheetId="2" r:id="rId1"/>
    <sheet name="Data" sheetId="1" r:id="rId2"/>
    <sheet name="Sales Report" sheetId="3" r:id="rId3"/>
    <sheet name="Target-Actual Report" sheetId="4" r:id="rId4"/>
  </sheets>
  <definedNames>
    <definedName name="_xlnm.Print_Area" localSheetId="3">'Target-Actual Report'!$G$22</definedName>
  </definedNames>
  <calcPr calcId="162913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B7" i="3"/>
  <c r="B8" i="3" s="1"/>
  <c r="B6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2" i="1"/>
</calcChain>
</file>

<file path=xl/sharedStrings.xml><?xml version="1.0" encoding="utf-8"?>
<sst xmlns="http://schemas.openxmlformats.org/spreadsheetml/2006/main" count="242" uniqueCount="51">
  <si>
    <t>Month</t>
  </si>
  <si>
    <t>Region</t>
  </si>
  <si>
    <t>Salesperson</t>
  </si>
  <si>
    <t>Product</t>
  </si>
  <si>
    <t>Target (PKR)</t>
  </si>
  <si>
    <t>Actual Sales (PKR)</t>
  </si>
  <si>
    <t xml:space="preserve"> North </t>
  </si>
  <si>
    <t xml:space="preserve"> Ali Khan </t>
  </si>
  <si>
    <t xml:space="preserve"> Laptop </t>
  </si>
  <si>
    <t xml:space="preserve"> Sara Ahmed </t>
  </si>
  <si>
    <t xml:space="preserve"> South </t>
  </si>
  <si>
    <t xml:space="preserve"> Bilal Raza </t>
  </si>
  <si>
    <t xml:space="preserve"> Ayesha Noor </t>
  </si>
  <si>
    <t xml:space="preserve"> East </t>
  </si>
  <si>
    <t xml:space="preserve"> Hamza Tariq </t>
  </si>
  <si>
    <t xml:space="preserve"> West </t>
  </si>
  <si>
    <t xml:space="preserve"> Zain Malik </t>
  </si>
  <si>
    <t xml:space="preserve"> Printer </t>
  </si>
  <si>
    <t>Variance</t>
  </si>
  <si>
    <t>Status</t>
  </si>
  <si>
    <t>Achievement % = (Actual / Target)*100</t>
  </si>
  <si>
    <t>Variance = Actual - Target</t>
  </si>
  <si>
    <t>KPI</t>
  </si>
  <si>
    <t>Value</t>
  </si>
  <si>
    <t>Total Target</t>
  </si>
  <si>
    <t>Total Actual</t>
  </si>
  <si>
    <t>Overall Achievement %</t>
  </si>
  <si>
    <t>Overall Summary</t>
  </si>
  <si>
    <t>Region Wise Analysis</t>
  </si>
  <si>
    <t>Grand Total</t>
  </si>
  <si>
    <t>Total Target Sales (PKR)</t>
  </si>
  <si>
    <t>Total Actual Sales (PKR)</t>
  </si>
  <si>
    <t>Achievement %</t>
  </si>
  <si>
    <t>Total Achievement %</t>
  </si>
  <si>
    <t>Salesperson Performance</t>
  </si>
  <si>
    <t>TARGET v/s ACTUAL SALES REPORT</t>
  </si>
  <si>
    <t>West – 100%</t>
  </si>
  <si>
    <t>East – 100%</t>
  </si>
  <si>
    <t>South – 103%</t>
  </si>
  <si>
    <t>North – 105%</t>
  </si>
  <si>
    <t>Region Performance:</t>
  </si>
  <si>
    <t>Lowest Performer: Ayesha Noor (96%)</t>
  </si>
  <si>
    <t>Top Performer: Ali Khan (111%)</t>
  </si>
  <si>
    <t>Overall Achievement: 104.2%</t>
  </si>
  <si>
    <t>Total Actual:  PKR 19,763,800</t>
  </si>
  <si>
    <t>Total Target:  PKR 19,450,000</t>
  </si>
  <si>
    <t>Summary</t>
  </si>
  <si>
    <t>Month: Jan–Mar 2026</t>
  </si>
  <si>
    <t>Monthly Sales Performance Report</t>
  </si>
  <si>
    <t>Company Name : Quantium</t>
  </si>
  <si>
    <t>Sales Target vs Achievement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</si>
</sst>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-[$Rs-420]\ * #,##0_-;\-[$Rs-420]\ * #,##0_-;_-[$Rs-420]\ * &quot;-&quot;??_-;_-@_-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17" fontId="0" fillId="0" borderId="0" xfId="0" applyNumberFormat="1"/>
    <xf numFmtId="14" fontId="0" fillId="0" borderId="0" xfId="0" applyNumberFormat="1"/>
    <xf numFmtId="17" fontId="0" fillId="2" borderId="0" xfId="0" applyNumberFormat="1" applyFill="1"/>
    <xf numFmtId="0" fontId="0" fillId="3" borderId="0" xfId="0" applyFill="1"/>
    <xf numFmtId="17" fontId="0" fillId="3" borderId="0" xfId="0" applyNumberFormat="1" applyFill="1"/>
    <xf numFmtId="0" fontId="0" fillId="4" borderId="0" xfId="0" applyFill="1"/>
    <xf numFmtId="0" fontId="0" fillId="5" borderId="0" xfId="0" applyFill="1"/>
    <xf numFmtId="17" fontId="0" fillId="5" borderId="0" xfId="0" applyNumberFormat="1" applyFill="1"/>
    <xf numFmtId="0" fontId="0" fillId="6" borderId="0" xfId="0" applyFill="1"/>
    <xf numFmtId="9" fontId="0" fillId="0" borderId="0" xfId="2" applyFont="1"/>
    <xf numFmtId="9" fontId="2" fillId="0" borderId="0" xfId="2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9" fontId="5" fillId="0" borderId="1" xfId="2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4" fillId="7" borderId="2" xfId="0" applyFont="1" applyFill="1" applyBorder="1"/>
    <xf numFmtId="0" fontId="0" fillId="7" borderId="3" xfId="0" applyFill="1" applyBorder="1"/>
    <xf numFmtId="0" fontId="2" fillId="8" borderId="0" xfId="0" applyFont="1" applyFill="1" applyBorder="1"/>
    <xf numFmtId="0" fontId="2" fillId="8" borderId="0" xfId="0" applyFont="1" applyFill="1"/>
    <xf numFmtId="0" fontId="0" fillId="0" borderId="0" xfId="0" applyBorder="1"/>
    <xf numFmtId="164" fontId="5" fillId="0" borderId="1" xfId="1" applyNumberFormat="1" applyFont="1" applyBorder="1"/>
    <xf numFmtId="165" fontId="0" fillId="0" borderId="0" xfId="0" applyNumberFormat="1"/>
    <xf numFmtId="165" fontId="0" fillId="0" borderId="0" xfId="1" applyNumberFormat="1" applyFont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7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Rs-420]\ * #,##0_-;\-[$Rs-420]\ * #,##0_-;_-[$Rs-420]\ * &quot;-&quot;??_-;_-@_-"/>
    </dxf>
    <dxf>
      <numFmt numFmtId="166" formatCode="_-[$Rs-420]\ * #,##0.0_-;\-[$Rs-420]\ * #,##0.0_-;_-[$Rs-420]\ * &quot;-&quot;??_-;_-@_-"/>
    </dxf>
    <dxf>
      <numFmt numFmtId="167" formatCode="_-[$Rs-420]\ * #,##0.00_-;\-[$Rs-420]\ * #,##0.00_-;_-[$Rs-420]\ * &quot;-&quot;??_-;_-@_-"/>
    </dxf>
    <dxf>
      <numFmt numFmtId="167" formatCode="_-[$Rs-420]\ * #,##0.00_-;\-[$Rs-420]\ * #,##0.00_-;_-[$Rs-420]\ * &quot;-&quot;??_-;_-@_-"/>
    </dxf>
    <dxf>
      <numFmt numFmtId="13" formatCode="0%"/>
    </dxf>
    <dxf>
      <numFmt numFmtId="13" formatCode="0%"/>
    </dxf>
    <dxf>
      <numFmt numFmtId="164" formatCode="_(&quot;$&quot;* #,##0_);_(&quot;$&quot;* \(#,##0\);_(&quot;$&quot;* &quot;-&quot;??_);_(@_)"/>
    </dxf>
    <dxf>
      <numFmt numFmtId="168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165" formatCode="_-[$Rs-420]\ * #,##0_-;\-[$Rs-420]\ * #,##0_-;_-[$Rs-420]\ * &quot;-&quot;??_-;_-@_-"/>
    </dxf>
    <dxf>
      <numFmt numFmtId="166" formatCode="_-[$Rs-420]\ * #,##0.0_-;\-[$Rs-420]\ * #,##0.0_-;_-[$Rs-420]\ * &quot;-&quot;??_-;_-@_-"/>
    </dxf>
    <dxf>
      <numFmt numFmtId="167" formatCode="_-[$Rs-420]\ * #,##0.00_-;\-[$Rs-420]\ * #,##0.00_-;_-[$Rs-420]\ * &quot;-&quot;??_-;_-@_-"/>
    </dxf>
    <dxf>
      <numFmt numFmtId="13" formatCode="0%"/>
    </dxf>
    <dxf>
      <numFmt numFmtId="13" formatCode="0%"/>
    </dxf>
    <dxf>
      <numFmt numFmtId="13" formatCode="0%"/>
    </dxf>
    <dxf>
      <numFmt numFmtId="164" formatCode="_(&quot;$&quot;* #,##0_);_(&quot;$&quot;* \(#,##0\);_(&quot;$&quot;* &quot;-&quot;??_);_(@_)"/>
    </dxf>
    <dxf>
      <numFmt numFmtId="168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_-[$Rs-420]\ * #,##0_-;\-[$Rs-420]\ * #,##0_-;_-[$Rs-420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_-[$Rs-420]\ * #,##0_-;\-[$Rs-420]\ * #,##0_-;_-[$Rs-420]\ * &quot;-&quot;??_-;_-@_-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[Target vs Achievement Sales Report.xlsx]Sales 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/ Actual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Report'!$B$12</c:f>
              <c:strCache>
                <c:ptCount val="1"/>
                <c:pt idx="0">
                  <c:v>Total Target Sales (PKR)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Report'!$A$13:$A$17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'Sales Report'!$B$13:$B$17</c:f>
              <c:numCache>
                <c:formatCode>_-[$Rs-420]\ * #,##0_-;\-[$Rs-420]\ * #,##0_-;_-[$Rs-420]\ * "-"??_-;_-@_-</c:formatCode>
                <c:ptCount val="4"/>
                <c:pt idx="0">
                  <c:v>3250000</c:v>
                </c:pt>
                <c:pt idx="1">
                  <c:v>6150000</c:v>
                </c:pt>
                <c:pt idx="2">
                  <c:v>6540000</c:v>
                </c:pt>
                <c:pt idx="3">
                  <c:v>3510000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3-4717-8F3D-FFA6B5B03ACE}"/>
            </c:ext>
          </c:extLst>
        </c:ser>
        <c:ser>
          <c:idx val="1"/>
          <c:order val="1"/>
          <c:tx>
            <c:strRef>
              <c:f>'Sales Report'!$C$12</c:f>
              <c:strCache>
                <c:ptCount val="1"/>
                <c:pt idx="0">
                  <c:v>Total Actual Sales (PKR)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Report'!$A$13:$A$17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'Sales Report'!$C$13:$C$17</c:f>
              <c:numCache>
                <c:formatCode>_-[$Rs-420]\ * #,##0_-;\-[$Rs-420]\ * #,##0_-;_-[$Rs-420]\ * "-"??_-;_-@_-</c:formatCode>
                <c:ptCount val="4"/>
                <c:pt idx="0">
                  <c:v>3290000</c:v>
                </c:pt>
                <c:pt idx="1">
                  <c:v>6446000</c:v>
                </c:pt>
                <c:pt idx="2">
                  <c:v>6507800</c:v>
                </c:pt>
                <c:pt idx="3">
                  <c:v>3520000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3-4717-8F3D-FFA6B5B03ACE}"/>
            </c:ext>
          </c:extLst>
        </c:ser>
        <c:ser>
          <c:idx val="2"/>
          <c:order val="2"/>
          <c:tx>
            <c:strRef>
              <c:f>'Sales Report'!$D$12</c:f>
              <c:strCache>
                <c:ptCount val="1"/>
                <c:pt idx="0">
                  <c:v>Total Achievement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Report'!$A$13:$A$17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'Sales Report'!$D$13:$D$17</c:f>
              <c:numCache>
                <c:formatCode>0%</c:formatCode>
                <c:ptCount val="4"/>
                <c:pt idx="0">
                  <c:v>1.0123076923076924</c:v>
                </c:pt>
                <c:pt idx="1">
                  <c:v>1.048130081300813</c:v>
                </c:pt>
                <c:pt idx="2">
                  <c:v>0.99507645259938837</c:v>
                </c:pt>
                <c:pt idx="3">
                  <c:v>1.0028490028490029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53-4717-8F3D-FFA6B5B03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2698080"/>
        <c:axId val="662692672"/>
      </c:barChart>
      <c:catAx>
        <c:axId val="66269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662692672"/>
        <c:crosses val="autoZero"/>
        <c:auto val="1"/>
        <c:lblAlgn val="ctr"/>
        <c:lblOffset val="100"/>
        <c:noMultiLvlLbl val="0"/>
      </c:catAx>
      <c:valAx>
        <c:axId val="6626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s-420]\ * #,##0_-;\-[$Rs-420]\ * #,##0_-;_-[$Rs-420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66269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ur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[Target vs Achievement Sales Report.xlsx]Sales Report!PivotTable3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Report'!$B$21</c:f>
              <c:strCache>
                <c:ptCount val="1"/>
                <c:pt idx="0">
                  <c:v>Total Target Sales (PKR)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Report'!$A$22:$A$28</c:f>
              <c:strCache>
                <c:ptCount val="6"/>
                <c:pt idx="0">
                  <c:v> Ali Khan </c:v>
                </c:pt>
                <c:pt idx="1">
                  <c:v> Bilal Raza </c:v>
                </c:pt>
                <c:pt idx="2">
                  <c:v> Hamza Tariq </c:v>
                </c:pt>
                <c:pt idx="3">
                  <c:v> Zain Malik </c:v>
                </c:pt>
                <c:pt idx="4">
                  <c:v> Sara Ahmed </c:v>
                </c:pt>
                <c:pt idx="5">
                  <c:v> Ayesha Noor </c:v>
                </c:pt>
              </c:strCache>
            </c:strRef>
          </c:cat>
          <c:val>
            <c:numRef>
              <c:f>'Sales Report'!$B$22:$B$28</c:f>
              <c:numCache>
                <c:formatCode>_-[$Rs-420]\ * #,##0_-;\-[$Rs-420]\ * #,##0_-;_-[$Rs-420]\ * "-"??_-;_-@_-</c:formatCode>
                <c:ptCount val="6"/>
                <c:pt idx="0">
                  <c:v>3240000</c:v>
                </c:pt>
                <c:pt idx="1">
                  <c:v>3530000</c:v>
                </c:pt>
                <c:pt idx="2">
                  <c:v>3250000</c:v>
                </c:pt>
                <c:pt idx="3">
                  <c:v>3510000</c:v>
                </c:pt>
                <c:pt idx="4">
                  <c:v>2910000</c:v>
                </c:pt>
                <c:pt idx="5">
                  <c:v>3010000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6-4E7F-814D-5D5BE398A5B0}"/>
            </c:ext>
          </c:extLst>
        </c:ser>
        <c:ser>
          <c:idx val="1"/>
          <c:order val="1"/>
          <c:tx>
            <c:strRef>
              <c:f>'Sales Report'!$C$21</c:f>
              <c:strCache>
                <c:ptCount val="1"/>
                <c:pt idx="0">
                  <c:v>Total Actual Sales (PKR)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Report'!$A$22:$A$28</c:f>
              <c:strCache>
                <c:ptCount val="6"/>
                <c:pt idx="0">
                  <c:v> Ali Khan </c:v>
                </c:pt>
                <c:pt idx="1">
                  <c:v> Bilal Raza </c:v>
                </c:pt>
                <c:pt idx="2">
                  <c:v> Hamza Tariq </c:v>
                </c:pt>
                <c:pt idx="3">
                  <c:v> Zain Malik </c:v>
                </c:pt>
                <c:pt idx="4">
                  <c:v> Sara Ahmed </c:v>
                </c:pt>
                <c:pt idx="5">
                  <c:v> Ayesha Noor </c:v>
                </c:pt>
              </c:strCache>
            </c:strRef>
          </c:cat>
          <c:val>
            <c:numRef>
              <c:f>'Sales Report'!$C$22:$C$28</c:f>
              <c:numCache>
                <c:formatCode>_-[$Rs-420]\ * #,##0_-;\-[$Rs-420]\ * #,##0_-;_-[$Rs-420]\ * "-"??_-;_-@_-</c:formatCode>
                <c:ptCount val="6"/>
                <c:pt idx="0">
                  <c:v>3596000</c:v>
                </c:pt>
                <c:pt idx="1">
                  <c:v>3607800</c:v>
                </c:pt>
                <c:pt idx="2">
                  <c:v>3290000</c:v>
                </c:pt>
                <c:pt idx="3">
                  <c:v>3520000</c:v>
                </c:pt>
                <c:pt idx="4">
                  <c:v>2850000</c:v>
                </c:pt>
                <c:pt idx="5">
                  <c:v>2900000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6-4E7F-814D-5D5BE398A5B0}"/>
            </c:ext>
          </c:extLst>
        </c:ser>
        <c:ser>
          <c:idx val="2"/>
          <c:order val="2"/>
          <c:tx>
            <c:strRef>
              <c:f>'Sales Report'!$D$21</c:f>
              <c:strCache>
                <c:ptCount val="1"/>
                <c:pt idx="0">
                  <c:v>Total Achievement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Report'!$A$22:$A$28</c:f>
              <c:strCache>
                <c:ptCount val="6"/>
                <c:pt idx="0">
                  <c:v> Ali Khan </c:v>
                </c:pt>
                <c:pt idx="1">
                  <c:v> Bilal Raza </c:v>
                </c:pt>
                <c:pt idx="2">
                  <c:v> Hamza Tariq </c:v>
                </c:pt>
                <c:pt idx="3">
                  <c:v> Zain Malik </c:v>
                </c:pt>
                <c:pt idx="4">
                  <c:v> Sara Ahmed </c:v>
                </c:pt>
                <c:pt idx="5">
                  <c:v> Ayesha Noor </c:v>
                </c:pt>
              </c:strCache>
            </c:strRef>
          </c:cat>
          <c:val>
            <c:numRef>
              <c:f>'Sales Report'!$D$22:$D$28</c:f>
              <c:numCache>
                <c:formatCode>0%</c:formatCode>
                <c:ptCount val="6"/>
                <c:pt idx="0">
                  <c:v>1.1098765432098765</c:v>
                </c:pt>
                <c:pt idx="1">
                  <c:v>1.0220396600566573</c:v>
                </c:pt>
                <c:pt idx="2">
                  <c:v>1.0123076923076924</c:v>
                </c:pt>
                <c:pt idx="3">
                  <c:v>1.0028490028490029</c:v>
                </c:pt>
                <c:pt idx="4">
                  <c:v>0.97938144329896903</c:v>
                </c:pt>
                <c:pt idx="5">
                  <c:v>0.96345514950166111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66-4E7F-814D-5D5BE398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819547200"/>
        <c:axId val="819562176"/>
      </c:lineChart>
      <c:catAx>
        <c:axId val="8195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819562176"/>
        <c:crosses val="autoZero"/>
        <c:auto val="1"/>
        <c:lblAlgn val="ctr"/>
        <c:lblOffset val="100"/>
        <c:noMultiLvlLbl val="0"/>
      </c:catAx>
      <c:valAx>
        <c:axId val="81956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s-420]\ * #,##0_-;\-[$Rs-420]\ * #,##0_-;_-[$Rs-420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81954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r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628121</xdr:colOff>
      <xdr:row>0</xdr:row>
      <xdr:rowOff>112712</xdr:rowOff>
    </xdr:from>
    <xdr:to>
      <xdr:col>8</xdr:col>
      <xdr:colOff>670984</xdr:colOff>
      <xdr:row>14</xdr:row>
      <xdr:rowOff>59267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633942</xdr:colOff>
      <xdr:row>14</xdr:row>
      <xdr:rowOff>142876</xdr:rowOff>
    </xdr:from>
    <xdr:to>
      <xdr:col>8</xdr:col>
      <xdr:colOff>666749</xdr:colOff>
      <xdr:row>29</xdr:row>
      <xdr:rowOff>31749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5.763231828707" createdVersion="6" refreshedVersion="6" minRefreshableVersion="3" recordCount="30">
  <cacheSource type="worksheet">
    <worksheetSource name="Table1"/>
  </cacheSource>
  <cacheFields count="10">
    <cacheField name="Month" numFmtId="14">
      <sharedItems containsSemiMixedTypes="0" containsNonDate="0" containsDate="1" containsString="0" minDate="2026-01-01T00:00:00" maxDate="2026-03-02T00:00:00"/>
    </cacheField>
    <cacheField name="Region" numFmtId="0">
      <sharedItems containsBlank="1" count="5">
        <s v=" North "/>
        <s v=" South "/>
        <s v=" East "/>
        <s v=" West "/>
        <m u="1"/>
      </sharedItems>
    </cacheField>
    <cacheField name="Salesperson" numFmtId="0">
      <sharedItems count="6">
        <s v=" Ali Khan "/>
        <s v=" Sara Ahmed "/>
        <s v=" Bilal Raza "/>
        <s v=" Ayesha Noor "/>
        <s v=" Hamza Tariq "/>
        <s v=" Zain Malik "/>
      </sharedItems>
    </cacheField>
    <cacheField name="Product" numFmtId="0">
      <sharedItems/>
    </cacheField>
    <cacheField name="Target (PKR)" numFmtId="164">
      <sharedItems containsSemiMixedTypes="0" containsString="0" containsNumber="1" containsInteger="1" minValue="280000" maxValue="960000"/>
    </cacheField>
    <cacheField name="Actual Sales (PKR)" numFmtId="164">
      <sharedItems containsSemiMixedTypes="0" containsString="0" containsNumber="1" containsInteger="1" minValue="270000" maxValue="997800"/>
    </cacheField>
    <cacheField name="Achievement %" numFmtId="9">
      <sharedItems containsSemiMixedTypes="0" containsString="0" containsNumber="1" minValue="0.88461538461538458" maxValue="1.8533333333333333"/>
    </cacheField>
    <cacheField name="Variance" numFmtId="9">
      <sharedItems containsSemiMixedTypes="0" containsString="0" containsNumber="1" containsInteger="1" minValue="-90000" maxValue="256000"/>
    </cacheField>
    <cacheField name="Status" numFmtId="0">
      <sharedItems/>
    </cacheField>
    <cacheField name="Field1" numFmtId="0" formula="'Actual Sales (PKR)'/'Target (PKR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d v="2026-01-01T00:00:00"/>
    <x v="0"/>
    <x v="0"/>
    <s v=" Laptop "/>
    <n v="850000"/>
    <n v="920000"/>
    <n v="1.0823529411764705"/>
    <n v="70000"/>
    <s v="Target Achieved"/>
  </r>
  <r>
    <d v="2026-01-01T00:00:00"/>
    <x v="0"/>
    <x v="1"/>
    <s v=" Laptop "/>
    <n v="780000"/>
    <n v="690000"/>
    <n v="0.88461538461538458"/>
    <n v="-90000"/>
    <s v="Below Target"/>
  </r>
  <r>
    <d v="2026-01-01T00:00:00"/>
    <x v="1"/>
    <x v="2"/>
    <s v=" Laptop "/>
    <n v="920000"/>
    <n v="997800"/>
    <n v="1.0845652173913043"/>
    <n v="77800"/>
    <s v="Target Achieved"/>
  </r>
  <r>
    <d v="2026-01-01T00:00:00"/>
    <x v="1"/>
    <x v="3"/>
    <s v=" Laptop "/>
    <n v="760000"/>
    <n v="810000"/>
    <n v="1.0657894736842106"/>
    <n v="50000"/>
    <s v="Target Achieved"/>
  </r>
  <r>
    <d v="2026-01-01T00:00:00"/>
    <x v="2"/>
    <x v="4"/>
    <s v=" Laptop "/>
    <n v="830000"/>
    <n v="790000"/>
    <n v="0.95180722891566261"/>
    <n v="-40000"/>
    <s v="Below Target"/>
  </r>
  <r>
    <d v="2026-01-01T00:00:00"/>
    <x v="3"/>
    <x v="5"/>
    <s v=" Laptop "/>
    <n v="900000"/>
    <n v="940000"/>
    <n v="1.0444444444444445"/>
    <n v="40000"/>
    <s v="Target Achieved"/>
  </r>
  <r>
    <d v="2026-01-01T00:00:00"/>
    <x v="0"/>
    <x v="0"/>
    <s v=" Printer "/>
    <n v="300000"/>
    <n v="556000"/>
    <n v="1.8533333333333333"/>
    <n v="256000"/>
    <s v="Target Achieved"/>
  </r>
  <r>
    <d v="2026-01-01T00:00:00"/>
    <x v="0"/>
    <x v="1"/>
    <s v=" Printer "/>
    <n v="280000"/>
    <n v="310000"/>
    <n v="1.1071428571428572"/>
    <n v="30000"/>
    <s v="Target Achieved"/>
  </r>
  <r>
    <d v="2026-01-01T00:00:00"/>
    <x v="1"/>
    <x v="2"/>
    <s v=" Printer "/>
    <n v="350000"/>
    <n v="330000"/>
    <n v="0.94285714285714284"/>
    <n v="-20000"/>
    <s v="Below Target"/>
  </r>
  <r>
    <d v="2026-01-01T00:00:00"/>
    <x v="1"/>
    <x v="3"/>
    <s v=" Printer "/>
    <n v="320000"/>
    <n v="290000"/>
    <n v="0.90625"/>
    <n v="-30000"/>
    <s v="Below Target"/>
  </r>
  <r>
    <d v="2026-01-01T00:00:00"/>
    <x v="2"/>
    <x v="4"/>
    <s v=" Printer "/>
    <n v="340000"/>
    <n v="360000"/>
    <n v="1.0588235294117647"/>
    <n v="20000"/>
    <s v="Target Achieved"/>
  </r>
  <r>
    <d v="2026-01-01T00:00:00"/>
    <x v="3"/>
    <x v="5"/>
    <s v=" Printer "/>
    <n v="370000"/>
    <n v="390000"/>
    <n v="1.0540540540540539"/>
    <n v="20000"/>
    <s v="Target Achieved"/>
  </r>
  <r>
    <d v="2026-02-01T00:00:00"/>
    <x v="0"/>
    <x v="0"/>
    <s v=" Laptop "/>
    <n v="880000"/>
    <n v="840000"/>
    <n v="0.95454545454545459"/>
    <n v="-40000"/>
    <s v="Below Target"/>
  </r>
  <r>
    <d v="2026-02-01T00:00:00"/>
    <x v="0"/>
    <x v="1"/>
    <s v=" Laptop "/>
    <n v="760000"/>
    <n v="820000"/>
    <n v="1.0789473684210527"/>
    <n v="60000"/>
    <s v="Target Achieved"/>
  </r>
  <r>
    <d v="2026-02-01T00:00:00"/>
    <x v="1"/>
    <x v="2"/>
    <s v=" Laptop "/>
    <n v="940000"/>
    <n v="910000"/>
    <n v="0.96808510638297873"/>
    <n v="-30000"/>
    <s v="Below Target"/>
  </r>
  <r>
    <d v="2026-02-01T00:00:00"/>
    <x v="1"/>
    <x v="3"/>
    <s v=" Laptop "/>
    <n v="780000"/>
    <n v="720000"/>
    <n v="0.92307692307692313"/>
    <n v="-60000"/>
    <s v="Below Target"/>
  </r>
  <r>
    <d v="2026-02-01T00:00:00"/>
    <x v="2"/>
    <x v="4"/>
    <s v=" Laptop "/>
    <n v="850000"/>
    <n v="890000"/>
    <n v="1.0470588235294118"/>
    <n v="40000"/>
    <s v="Target Achieved"/>
  </r>
  <r>
    <d v="2026-02-01T00:00:00"/>
    <x v="3"/>
    <x v="5"/>
    <s v=" Laptop "/>
    <n v="910000"/>
    <n v="860000"/>
    <n v="0.94505494505494503"/>
    <n v="-50000"/>
    <s v="Below Target"/>
  </r>
  <r>
    <d v="2026-02-01T00:00:00"/>
    <x v="0"/>
    <x v="0"/>
    <s v=" Printer "/>
    <n v="310000"/>
    <n v="330000"/>
    <n v="1.064516129032258"/>
    <n v="20000"/>
    <s v="Target Achieved"/>
  </r>
  <r>
    <d v="2026-02-01T00:00:00"/>
    <x v="0"/>
    <x v="1"/>
    <s v=" Printer "/>
    <n v="290000"/>
    <n v="270000"/>
    <n v="0.93103448275862066"/>
    <n v="-20000"/>
    <s v="Below Target"/>
  </r>
  <r>
    <d v="2026-02-01T00:00:00"/>
    <x v="1"/>
    <x v="2"/>
    <s v=" Printer "/>
    <n v="360000"/>
    <n v="380000"/>
    <n v="1.0555555555555556"/>
    <n v="20000"/>
    <s v="Target Achieved"/>
  </r>
  <r>
    <d v="2026-02-01T00:00:00"/>
    <x v="1"/>
    <x v="3"/>
    <s v=" Printer "/>
    <n v="330000"/>
    <n v="300000"/>
    <n v="0.90909090909090906"/>
    <n v="-30000"/>
    <s v="Below Target"/>
  </r>
  <r>
    <d v="2026-02-01T00:00:00"/>
    <x v="2"/>
    <x v="4"/>
    <s v=" Printer "/>
    <n v="350000"/>
    <n v="340000"/>
    <n v="0.97142857142857142"/>
    <n v="-10000"/>
    <s v="Below Target"/>
  </r>
  <r>
    <d v="2026-02-01T00:00:00"/>
    <x v="3"/>
    <x v="5"/>
    <s v=" Printer "/>
    <n v="390000"/>
    <n v="410000"/>
    <n v="1.0512820512820513"/>
    <n v="20000"/>
    <s v="Target Achieved"/>
  </r>
  <r>
    <d v="2026-03-01T00:00:00"/>
    <x v="0"/>
    <x v="0"/>
    <s v=" Laptop "/>
    <n v="900000"/>
    <n v="950000"/>
    <n v="1.0555555555555556"/>
    <n v="50000"/>
    <s v="Target Achieved"/>
  </r>
  <r>
    <d v="2026-03-01T00:00:00"/>
    <x v="0"/>
    <x v="1"/>
    <s v=" Laptop "/>
    <n v="800000"/>
    <n v="760000"/>
    <n v="0.95"/>
    <n v="-40000"/>
    <s v="Below Target"/>
  </r>
  <r>
    <d v="2026-03-01T00:00:00"/>
    <x v="1"/>
    <x v="2"/>
    <s v=" Laptop "/>
    <n v="960000"/>
    <n v="990000"/>
    <n v="1.03125"/>
    <n v="30000"/>
    <s v="Target Achieved"/>
  </r>
  <r>
    <d v="2026-03-01T00:00:00"/>
    <x v="1"/>
    <x v="3"/>
    <s v=" Laptop "/>
    <n v="820000"/>
    <n v="780000"/>
    <n v="0.95121951219512191"/>
    <n v="-40000"/>
    <s v="Below Target"/>
  </r>
  <r>
    <d v="2026-03-01T00:00:00"/>
    <x v="2"/>
    <x v="4"/>
    <s v=" Laptop "/>
    <n v="880000"/>
    <n v="910000"/>
    <n v="1.0340909090909092"/>
    <n v="30000"/>
    <s v="Target Achieved"/>
  </r>
  <r>
    <d v="2026-03-01T00:00:00"/>
    <x v="3"/>
    <x v="5"/>
    <s v=" Laptop "/>
    <n v="940000"/>
    <n v="920000"/>
    <n v="0.97872340425531912"/>
    <n v="-20000"/>
    <s v="Below Tar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>
  <location ref="A12:D17" firstHeaderRow="0" firstDataRow="1" firstDataCol="1"/>
  <pivotFields count="10">
    <pivotField showAll="0"/>
    <pivotField axis="axisRow" showAll="0">
      <items count="6">
        <item x="2"/>
        <item x="0"/>
        <item x="1"/>
        <item x="3"/>
        <item m="1" x="4"/>
        <item t="default"/>
      </items>
    </pivotField>
    <pivotField showAll="0"/>
    <pivotField showAll="0"/>
    <pivotField dataField="1" showAll="0"/>
    <pivotField dataField="1" showAll="0"/>
    <pivotField numFmtId="9" showAll="0" defaultSubtotal="0"/>
    <pivotField showAll="0"/>
    <pivotField showAl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Target Sales (PKR)" fld="4" baseField="1" baseItem="0" numFmtId="165"/>
    <dataField name="Total Actual Sales (PKR)" fld="5" baseField="1" baseItem="0" numFmtId="165"/>
    <dataField name="Total Achievement %" fld="9" baseField="0" baseItem="0" numFmtId="9"/>
  </dataFields>
  <formats count="9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>
  <location ref="A21:D28" firstHeaderRow="0" firstDataRow="1" firstDataCol="1"/>
  <pivotFields count="10">
    <pivotField showAll="0"/>
    <pivotField showAll="0">
      <items count="6">
        <item x="2"/>
        <item x="0"/>
        <item x="1"/>
        <item x="3"/>
        <item m="1" x="4"/>
        <item t="default"/>
      </items>
    </pivotField>
    <pivotField axis="axisRow" showAll="0" sortType="descending">
      <items count="7">
        <item x="0"/>
        <item x="3"/>
        <item x="2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numFmtId="9" showAll="0" defaultSubtotal="0"/>
    <pivotField showAll="0"/>
    <pivotField showAll="0"/>
    <pivotField dataField="1" dragToRow="0" dragToCol="0" dragToPage="0" showAll="0" defaultSubtotal="0"/>
  </pivotFields>
  <rowFields count="1">
    <field x="2"/>
  </rowFields>
  <rowItems count="7">
    <i>
      <x/>
    </i>
    <i>
      <x v="2"/>
    </i>
    <i>
      <x v="3"/>
    </i>
    <i>
      <x v="5"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Target Sales (PKR)" fld="4" baseField="1" baseItem="0" numFmtId="165"/>
    <dataField name="Total Actual Sales (PKR)" fld="5" baseField="1" baseItem="0" numFmtId="165"/>
    <dataField name="Total Achievement %" fld="9" baseField="0" baseItem="0" numFmtId="9"/>
  </dataFields>
  <formats count="9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31" totalsRowShown="0" headerRowDxfId="26" headerRowCellStyle="Percent">
  <autoFilter ref="A1:I31"/>
  <tableColumns count="9">
    <tableColumn id="1" name="Month" dataDxfId="25"/>
    <tableColumn id="2" name="Region"/>
    <tableColumn id="3" name="Salesperson"/>
    <tableColumn id="4" name="Product"/>
    <tableColumn id="5" name="Target (PKR)" dataDxfId="24" dataCellStyle="Currency"/>
    <tableColumn id="6" name="Actual Sales (PKR)" dataDxfId="23" dataCellStyle="Currency"/>
    <tableColumn id="7" name="Achievement %" dataDxfId="22" dataCellStyle="Percent">
      <calculatedColumnFormula>F2/E2</calculatedColumnFormula>
    </tableColumn>
    <tableColumn id="8" name="Variance" dataDxfId="21" dataCellStyle="Percent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D17" sqref="D17"/>
    </sheetView>
  </sheetViews>
  <sheetFormatPr defaultRowHeight="14.25" x14ac:dyDescent="0.2"/>
  <cols>
    <col min="1" max="1" width="9" customWidth="1"/>
    <col min="3" max="3" width="14.75" customWidth="1"/>
    <col min="4" max="4" width="9" customWidth="1"/>
    <col min="5" max="5" width="13" customWidth="1"/>
    <col min="6" max="6" width="21.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>
        <v>46023</v>
      </c>
      <c r="B2" t="s">
        <v>6</v>
      </c>
      <c r="C2" t="s">
        <v>7</v>
      </c>
      <c r="D2" t="s">
        <v>8</v>
      </c>
      <c r="E2">
        <v>850000</v>
      </c>
      <c r="F2">
        <v>920000</v>
      </c>
    </row>
    <row r="3" spans="1:6" x14ac:dyDescent="0.2">
      <c r="A3" s="4"/>
    </row>
    <row r="4" spans="1:6" x14ac:dyDescent="0.2">
      <c r="A4" s="4">
        <v>46023</v>
      </c>
      <c r="B4" t="s">
        <v>6</v>
      </c>
      <c r="C4" s="8" t="s">
        <v>9</v>
      </c>
      <c r="D4" t="s">
        <v>8</v>
      </c>
      <c r="E4">
        <v>780000</v>
      </c>
      <c r="F4">
        <v>690000</v>
      </c>
    </row>
    <row r="5" spans="1:6" x14ac:dyDescent="0.2">
      <c r="A5" s="4">
        <v>46023</v>
      </c>
      <c r="B5" t="s">
        <v>10</v>
      </c>
      <c r="C5" s="8" t="s">
        <v>11</v>
      </c>
      <c r="D5" s="5" t="s">
        <v>8</v>
      </c>
      <c r="E5" s="10">
        <v>920000</v>
      </c>
      <c r="F5">
        <v>880000</v>
      </c>
    </row>
    <row r="6" spans="1:6" x14ac:dyDescent="0.2">
      <c r="A6" s="4">
        <v>46023</v>
      </c>
      <c r="B6" t="s">
        <v>10</v>
      </c>
      <c r="C6" s="8" t="s">
        <v>12</v>
      </c>
      <c r="D6" s="5" t="s">
        <v>8</v>
      </c>
      <c r="E6" s="10">
        <v>760000</v>
      </c>
      <c r="F6">
        <v>810000</v>
      </c>
    </row>
    <row r="7" spans="1:6" x14ac:dyDescent="0.2">
      <c r="A7" s="4">
        <v>46023</v>
      </c>
      <c r="B7" t="s">
        <v>13</v>
      </c>
      <c r="C7" s="8" t="s">
        <v>14</v>
      </c>
      <c r="D7" t="s">
        <v>8</v>
      </c>
      <c r="E7" s="10">
        <v>830000</v>
      </c>
      <c r="F7" s="5">
        <v>790000</v>
      </c>
    </row>
    <row r="8" spans="1:6" x14ac:dyDescent="0.2">
      <c r="A8" s="2">
        <v>46023</v>
      </c>
      <c r="B8" t="s">
        <v>15</v>
      </c>
      <c r="C8" t="s">
        <v>16</v>
      </c>
      <c r="D8" t="s">
        <v>8</v>
      </c>
      <c r="E8">
        <v>900000</v>
      </c>
      <c r="F8">
        <v>940000</v>
      </c>
    </row>
    <row r="9" spans="1:6" x14ac:dyDescent="0.2">
      <c r="A9" s="2">
        <v>46023</v>
      </c>
      <c r="B9" t="s">
        <v>6</v>
      </c>
      <c r="C9" s="10" t="s">
        <v>7</v>
      </c>
      <c r="D9" t="s">
        <v>17</v>
      </c>
      <c r="E9">
        <v>300000</v>
      </c>
      <c r="F9">
        <v>250000</v>
      </c>
    </row>
    <row r="10" spans="1:6" x14ac:dyDescent="0.2">
      <c r="A10" s="2"/>
      <c r="C10" s="10"/>
    </row>
    <row r="11" spans="1:6" x14ac:dyDescent="0.2">
      <c r="A11" s="2">
        <v>46023</v>
      </c>
      <c r="B11" t="s">
        <v>6</v>
      </c>
      <c r="C11" s="10" t="s">
        <v>9</v>
      </c>
      <c r="D11" t="s">
        <v>17</v>
      </c>
      <c r="E11" s="7">
        <v>280000</v>
      </c>
      <c r="F11" s="7">
        <v>310000</v>
      </c>
    </row>
    <row r="12" spans="1:6" x14ac:dyDescent="0.2">
      <c r="A12" s="2">
        <v>46023</v>
      </c>
      <c r="B12" t="s">
        <v>10</v>
      </c>
      <c r="C12" t="s">
        <v>11</v>
      </c>
      <c r="D12" t="s">
        <v>17</v>
      </c>
      <c r="E12" s="7">
        <v>350000</v>
      </c>
      <c r="F12" s="7">
        <v>330000</v>
      </c>
    </row>
    <row r="13" spans="1:6" x14ac:dyDescent="0.2">
      <c r="A13" s="9">
        <v>46023</v>
      </c>
      <c r="B13" s="7" t="s">
        <v>10</v>
      </c>
      <c r="C13" t="s">
        <v>12</v>
      </c>
      <c r="D13" t="s">
        <v>17</v>
      </c>
      <c r="E13">
        <v>320000</v>
      </c>
      <c r="F13">
        <v>290000</v>
      </c>
    </row>
    <row r="14" spans="1:6" x14ac:dyDescent="0.2">
      <c r="A14" s="9">
        <v>46023</v>
      </c>
      <c r="B14" s="7" t="s">
        <v>13</v>
      </c>
      <c r="C14" t="s">
        <v>14</v>
      </c>
      <c r="D14" t="s">
        <v>17</v>
      </c>
      <c r="E14">
        <v>340000</v>
      </c>
      <c r="F14">
        <v>360000</v>
      </c>
    </row>
    <row r="15" spans="1:6" x14ac:dyDescent="0.2">
      <c r="A15" s="9">
        <v>46023</v>
      </c>
      <c r="B15" s="7" t="s">
        <v>15</v>
      </c>
      <c r="C15" t="s">
        <v>16</v>
      </c>
      <c r="D15" s="5" t="s">
        <v>17</v>
      </c>
      <c r="E15">
        <v>370000</v>
      </c>
      <c r="F15" s="8">
        <v>390000</v>
      </c>
    </row>
    <row r="16" spans="1:6" x14ac:dyDescent="0.2">
      <c r="A16" s="9"/>
      <c r="B16" s="7"/>
      <c r="D16" s="5"/>
      <c r="F16" s="8"/>
    </row>
    <row r="17" spans="1:6" x14ac:dyDescent="0.2">
      <c r="A17" s="2">
        <v>46054</v>
      </c>
      <c r="B17" s="7" t="s">
        <v>6</v>
      </c>
      <c r="C17" t="s">
        <v>7</v>
      </c>
      <c r="D17" t="s">
        <v>8</v>
      </c>
      <c r="E17">
        <v>880000</v>
      </c>
      <c r="F17" s="8">
        <v>840000</v>
      </c>
    </row>
    <row r="18" spans="1:6" x14ac:dyDescent="0.2">
      <c r="A18" s="2">
        <v>46054</v>
      </c>
      <c r="B18" t="s">
        <v>6</v>
      </c>
      <c r="C18" t="s">
        <v>9</v>
      </c>
      <c r="D18" t="s">
        <v>8</v>
      </c>
      <c r="E18">
        <v>760000</v>
      </c>
      <c r="F18">
        <v>820000</v>
      </c>
    </row>
    <row r="19" spans="1:6" x14ac:dyDescent="0.2">
      <c r="A19" s="2">
        <v>46054</v>
      </c>
      <c r="B19" t="s">
        <v>10</v>
      </c>
      <c r="C19" s="7" t="s">
        <v>11</v>
      </c>
      <c r="D19" t="s">
        <v>8</v>
      </c>
      <c r="E19">
        <v>940000</v>
      </c>
      <c r="F19">
        <v>910000</v>
      </c>
    </row>
    <row r="20" spans="1:6" x14ac:dyDescent="0.2">
      <c r="A20" s="2"/>
      <c r="C20" s="7"/>
      <c r="E20">
        <v>0</v>
      </c>
      <c r="F20" s="8">
        <v>0</v>
      </c>
    </row>
    <row r="21" spans="1:6" x14ac:dyDescent="0.2">
      <c r="A21" s="2">
        <v>46054</v>
      </c>
      <c r="B21" t="s">
        <v>10</v>
      </c>
      <c r="C21" t="s">
        <v>12</v>
      </c>
      <c r="D21" t="s">
        <v>8</v>
      </c>
      <c r="E21">
        <v>780000</v>
      </c>
      <c r="F21">
        <v>720000</v>
      </c>
    </row>
    <row r="22" spans="1:6" x14ac:dyDescent="0.2">
      <c r="A22" s="6">
        <v>46054</v>
      </c>
      <c r="B22" t="s">
        <v>13</v>
      </c>
      <c r="C22" t="s">
        <v>14</v>
      </c>
      <c r="D22" t="s">
        <v>8</v>
      </c>
      <c r="E22" s="8">
        <v>850000</v>
      </c>
      <c r="F22" s="5">
        <v>890000</v>
      </c>
    </row>
    <row r="23" spans="1:6" x14ac:dyDescent="0.2">
      <c r="A23" s="2">
        <v>46054</v>
      </c>
      <c r="B23" t="s">
        <v>15</v>
      </c>
      <c r="C23" s="10" t="s">
        <v>16</v>
      </c>
      <c r="D23" t="s">
        <v>8</v>
      </c>
      <c r="E23" s="8">
        <v>910000</v>
      </c>
      <c r="F23">
        <v>860000</v>
      </c>
    </row>
    <row r="24" spans="1:6" x14ac:dyDescent="0.2">
      <c r="A24" s="2">
        <v>46054</v>
      </c>
      <c r="B24" t="s">
        <v>6</v>
      </c>
      <c r="C24" s="10" t="s">
        <v>7</v>
      </c>
      <c r="D24" s="7" t="s">
        <v>17</v>
      </c>
      <c r="E24" s="8">
        <v>310000</v>
      </c>
      <c r="F24">
        <v>330000</v>
      </c>
    </row>
    <row r="25" spans="1:6" ht="21" customHeight="1" x14ac:dyDescent="0.2">
      <c r="A25" s="2">
        <v>46054</v>
      </c>
      <c r="B25" t="s">
        <v>6</v>
      </c>
      <c r="C25" s="10" t="s">
        <v>9</v>
      </c>
      <c r="D25" t="s">
        <v>17</v>
      </c>
      <c r="E25">
        <v>290000</v>
      </c>
      <c r="F25">
        <v>270000</v>
      </c>
    </row>
    <row r="26" spans="1:6" ht="21" customHeight="1" x14ac:dyDescent="0.2">
      <c r="A26" s="2"/>
      <c r="C26" s="10"/>
      <c r="E26" s="8">
        <v>0</v>
      </c>
      <c r="F26">
        <v>0</v>
      </c>
    </row>
    <row r="27" spans="1:6" ht="21" customHeight="1" x14ac:dyDescent="0.2">
      <c r="A27" s="2"/>
      <c r="C27" s="10"/>
      <c r="E27" s="8">
        <v>0</v>
      </c>
      <c r="F27">
        <v>0</v>
      </c>
    </row>
    <row r="28" spans="1:6" ht="21" customHeight="1" x14ac:dyDescent="0.2">
      <c r="A28" s="2"/>
      <c r="C28" s="10"/>
      <c r="E28" s="8">
        <v>0</v>
      </c>
      <c r="F28">
        <v>0</v>
      </c>
    </row>
    <row r="29" spans="1:6" x14ac:dyDescent="0.2">
      <c r="A29" s="2">
        <v>46054</v>
      </c>
      <c r="B29" t="s">
        <v>10</v>
      </c>
      <c r="C29" t="s">
        <v>11</v>
      </c>
      <c r="D29" t="s">
        <v>17</v>
      </c>
      <c r="E29">
        <v>360000</v>
      </c>
      <c r="F29">
        <v>380000</v>
      </c>
    </row>
    <row r="30" spans="1:6" x14ac:dyDescent="0.2">
      <c r="A30" s="2">
        <v>46054</v>
      </c>
      <c r="B30" s="8" t="s">
        <v>10</v>
      </c>
      <c r="C30" t="s">
        <v>12</v>
      </c>
      <c r="D30" t="s">
        <v>17</v>
      </c>
      <c r="E30" s="10">
        <v>330000</v>
      </c>
      <c r="F30" s="10">
        <v>300000</v>
      </c>
    </row>
    <row r="31" spans="1:6" x14ac:dyDescent="0.2">
      <c r="A31" s="2"/>
      <c r="B31" s="8"/>
      <c r="E31" s="10"/>
      <c r="F31" s="10"/>
    </row>
    <row r="32" spans="1:6" x14ac:dyDescent="0.2">
      <c r="A32" s="2">
        <v>46054</v>
      </c>
      <c r="B32" s="8" t="s">
        <v>13</v>
      </c>
      <c r="C32" t="s">
        <v>14</v>
      </c>
      <c r="D32" t="s">
        <v>17</v>
      </c>
      <c r="E32" s="10">
        <v>350000</v>
      </c>
      <c r="F32" s="10">
        <v>340000</v>
      </c>
    </row>
    <row r="33" spans="1:6" x14ac:dyDescent="0.2">
      <c r="A33" s="2">
        <v>46054</v>
      </c>
      <c r="B33" s="8" t="s">
        <v>15</v>
      </c>
      <c r="C33" t="s">
        <v>16</v>
      </c>
      <c r="D33" t="s">
        <v>17</v>
      </c>
      <c r="E33">
        <v>390000</v>
      </c>
      <c r="F33">
        <v>410000</v>
      </c>
    </row>
    <row r="34" spans="1:6" x14ac:dyDescent="0.2">
      <c r="A34" s="2">
        <v>46082</v>
      </c>
      <c r="B34" s="8" t="s">
        <v>6</v>
      </c>
      <c r="C34" s="5" t="s">
        <v>7</v>
      </c>
      <c r="D34" t="s">
        <v>8</v>
      </c>
      <c r="E34" s="8">
        <v>900000</v>
      </c>
      <c r="F34" s="8">
        <v>950000</v>
      </c>
    </row>
    <row r="35" spans="1:6" x14ac:dyDescent="0.2">
      <c r="A35" s="2">
        <v>46082</v>
      </c>
      <c r="B35" s="8" t="s">
        <v>6</v>
      </c>
      <c r="C35" t="s">
        <v>9</v>
      </c>
      <c r="D35" t="s">
        <v>8</v>
      </c>
      <c r="E35" s="8">
        <v>800000</v>
      </c>
      <c r="F35" s="8">
        <v>760000</v>
      </c>
    </row>
    <row r="36" spans="1:6" x14ac:dyDescent="0.2">
      <c r="A36" s="2"/>
      <c r="B36" s="8"/>
      <c r="E36" s="8"/>
      <c r="F36" s="8"/>
    </row>
    <row r="37" spans="1:6" x14ac:dyDescent="0.2">
      <c r="A37" s="2">
        <v>46082</v>
      </c>
      <c r="B37" t="s">
        <v>10</v>
      </c>
      <c r="C37" t="s">
        <v>11</v>
      </c>
      <c r="D37" t="s">
        <v>8</v>
      </c>
      <c r="E37">
        <v>960000</v>
      </c>
      <c r="F37">
        <v>990000</v>
      </c>
    </row>
    <row r="38" spans="1:6" x14ac:dyDescent="0.2">
      <c r="A38" s="2"/>
    </row>
    <row r="39" spans="1:6" x14ac:dyDescent="0.2">
      <c r="A39" s="2">
        <v>46082</v>
      </c>
      <c r="B39" t="s">
        <v>10</v>
      </c>
      <c r="C39" t="s">
        <v>12</v>
      </c>
      <c r="D39" t="s">
        <v>8</v>
      </c>
      <c r="E39">
        <v>820000</v>
      </c>
      <c r="F39">
        <v>780000</v>
      </c>
    </row>
    <row r="40" spans="1:6" x14ac:dyDescent="0.2">
      <c r="A40" s="2">
        <v>46082</v>
      </c>
      <c r="B40" t="s">
        <v>13</v>
      </c>
      <c r="C40" t="s">
        <v>14</v>
      </c>
      <c r="D40" t="s">
        <v>8</v>
      </c>
      <c r="E40">
        <v>880000</v>
      </c>
      <c r="F40">
        <v>910000</v>
      </c>
    </row>
    <row r="41" spans="1:6" x14ac:dyDescent="0.2">
      <c r="A41" s="2">
        <v>46082</v>
      </c>
      <c r="B41" t="s">
        <v>15</v>
      </c>
      <c r="C41" t="s">
        <v>16</v>
      </c>
      <c r="D41" t="s">
        <v>8</v>
      </c>
      <c r="E41">
        <v>940000</v>
      </c>
      <c r="F41">
        <v>920000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C1" workbookViewId="0">
      <selection activeCell="N11" sqref="N11"/>
    </sheetView>
  </sheetViews>
  <sheetFormatPr defaultRowHeight="14.25" x14ac:dyDescent="0.2"/>
  <cols>
    <col min="2" max="2" width="9.125" customWidth="1"/>
    <col min="3" max="3" width="13.875" customWidth="1"/>
    <col min="4" max="4" width="9.75" customWidth="1"/>
    <col min="5" max="5" width="14.375" customWidth="1"/>
    <col min="6" max="6" width="20.125" customWidth="1"/>
    <col min="7" max="7" width="17.5" customWidth="1"/>
    <col min="8" max="8" width="14.75" style="11" customWidth="1"/>
    <col min="9" max="9" width="17.625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</v>
      </c>
      <c r="H1" s="12" t="s">
        <v>18</v>
      </c>
      <c r="I1" s="1" t="s">
        <v>19</v>
      </c>
    </row>
    <row r="2" spans="1:15" x14ac:dyDescent="0.2">
      <c r="A2" s="3">
        <v>46023</v>
      </c>
      <c r="B2" t="s">
        <v>6</v>
      </c>
      <c r="C2" t="s">
        <v>7</v>
      </c>
      <c r="D2" t="s">
        <v>8</v>
      </c>
      <c r="E2" s="28">
        <v>850000</v>
      </c>
      <c r="F2" s="28">
        <v>920000</v>
      </c>
      <c r="G2" s="11">
        <f>F2/E2</f>
        <v>1.0823529411764705</v>
      </c>
      <c r="H2" s="11">
        <f>F2-E2</f>
        <v>70000</v>
      </c>
      <c r="I2" t="str">
        <f>IF(F2&gt;=E2,"Target Achieved","Below Target")</f>
        <v>Target Achieved</v>
      </c>
      <c r="L2" s="29" t="s">
        <v>20</v>
      </c>
      <c r="M2" s="29"/>
      <c r="N2" s="29"/>
      <c r="O2" s="29"/>
    </row>
    <row r="3" spans="1:15" ht="13.5" customHeight="1" x14ac:dyDescent="0.2">
      <c r="A3" s="3">
        <v>46023</v>
      </c>
      <c r="B3" t="s">
        <v>6</v>
      </c>
      <c r="C3" t="s">
        <v>9</v>
      </c>
      <c r="D3" t="s">
        <v>8</v>
      </c>
      <c r="E3" s="28">
        <v>780000</v>
      </c>
      <c r="F3" s="28">
        <v>690000</v>
      </c>
      <c r="G3" s="11">
        <f t="shared" ref="G3:G31" si="0">F3/E3</f>
        <v>0.88461538461538458</v>
      </c>
      <c r="H3" s="11">
        <f t="shared" ref="H3:H31" si="1">F3-E3</f>
        <v>-90000</v>
      </c>
      <c r="I3" t="str">
        <f t="shared" ref="I3:I31" si="2">IF(F3&gt;=E3,"Target Achieved","Below Target")</f>
        <v>Below Target</v>
      </c>
      <c r="L3" s="30" t="s">
        <v>21</v>
      </c>
      <c r="M3" s="31"/>
      <c r="N3" s="31"/>
      <c r="O3" s="32"/>
    </row>
    <row r="4" spans="1:15" x14ac:dyDescent="0.2">
      <c r="A4" s="3">
        <v>46023</v>
      </c>
      <c r="B4" t="s">
        <v>10</v>
      </c>
      <c r="C4" t="s">
        <v>11</v>
      </c>
      <c r="D4" t="s">
        <v>8</v>
      </c>
      <c r="E4" s="28">
        <v>920000</v>
      </c>
      <c r="F4" s="28">
        <v>997800</v>
      </c>
      <c r="G4" s="11">
        <f t="shared" si="0"/>
        <v>1.0845652173913043</v>
      </c>
      <c r="H4" s="11">
        <f t="shared" si="1"/>
        <v>77800</v>
      </c>
      <c r="I4" t="str">
        <f t="shared" si="2"/>
        <v>Target Achieved</v>
      </c>
    </row>
    <row r="5" spans="1:15" x14ac:dyDescent="0.2">
      <c r="A5" s="3">
        <v>46023</v>
      </c>
      <c r="B5" t="s">
        <v>10</v>
      </c>
      <c r="C5" t="s">
        <v>12</v>
      </c>
      <c r="D5" t="s">
        <v>8</v>
      </c>
      <c r="E5" s="28">
        <v>760000</v>
      </c>
      <c r="F5" s="28">
        <v>810000</v>
      </c>
      <c r="G5" s="11">
        <f t="shared" si="0"/>
        <v>1.0657894736842106</v>
      </c>
      <c r="H5" s="11">
        <f t="shared" si="1"/>
        <v>50000</v>
      </c>
      <c r="I5" t="str">
        <f t="shared" si="2"/>
        <v>Target Achieved</v>
      </c>
    </row>
    <row r="6" spans="1:15" x14ac:dyDescent="0.2">
      <c r="A6" s="3">
        <v>46023</v>
      </c>
      <c r="B6" t="s">
        <v>13</v>
      </c>
      <c r="C6" t="s">
        <v>14</v>
      </c>
      <c r="D6" t="s">
        <v>8</v>
      </c>
      <c r="E6" s="28">
        <v>830000</v>
      </c>
      <c r="F6" s="28">
        <v>790000</v>
      </c>
      <c r="G6" s="11">
        <f t="shared" si="0"/>
        <v>0.95180722891566261</v>
      </c>
      <c r="H6" s="11">
        <f t="shared" si="1"/>
        <v>-40000</v>
      </c>
      <c r="I6" t="str">
        <f t="shared" si="2"/>
        <v>Below Target</v>
      </c>
    </row>
    <row r="7" spans="1:15" x14ac:dyDescent="0.2">
      <c r="A7" s="3">
        <v>46023</v>
      </c>
      <c r="B7" t="s">
        <v>15</v>
      </c>
      <c r="C7" t="s">
        <v>16</v>
      </c>
      <c r="D7" t="s">
        <v>8</v>
      </c>
      <c r="E7" s="28">
        <v>900000</v>
      </c>
      <c r="F7" s="28">
        <v>940000</v>
      </c>
      <c r="G7" s="11">
        <f t="shared" si="0"/>
        <v>1.0444444444444445</v>
      </c>
      <c r="H7" s="11">
        <f t="shared" si="1"/>
        <v>40000</v>
      </c>
      <c r="I7" t="str">
        <f t="shared" si="2"/>
        <v>Target Achieved</v>
      </c>
    </row>
    <row r="8" spans="1:15" x14ac:dyDescent="0.2">
      <c r="A8" s="3">
        <v>46023</v>
      </c>
      <c r="B8" t="s">
        <v>6</v>
      </c>
      <c r="C8" t="s">
        <v>7</v>
      </c>
      <c r="D8" t="s">
        <v>17</v>
      </c>
      <c r="E8" s="28">
        <v>300000</v>
      </c>
      <c r="F8" s="28">
        <v>556000</v>
      </c>
      <c r="G8" s="11">
        <f t="shared" si="0"/>
        <v>1.8533333333333333</v>
      </c>
      <c r="H8" s="11">
        <f t="shared" si="1"/>
        <v>256000</v>
      </c>
      <c r="I8" t="str">
        <f t="shared" si="2"/>
        <v>Target Achieved</v>
      </c>
    </row>
    <row r="9" spans="1:15" x14ac:dyDescent="0.2">
      <c r="A9" s="3">
        <v>46023</v>
      </c>
      <c r="B9" t="s">
        <v>6</v>
      </c>
      <c r="C9" t="s">
        <v>9</v>
      </c>
      <c r="D9" t="s">
        <v>17</v>
      </c>
      <c r="E9" s="28">
        <v>280000</v>
      </c>
      <c r="F9" s="28">
        <v>310000</v>
      </c>
      <c r="G9" s="11">
        <f t="shared" si="0"/>
        <v>1.1071428571428572</v>
      </c>
      <c r="H9" s="11">
        <f t="shared" si="1"/>
        <v>30000</v>
      </c>
      <c r="I9" t="str">
        <f t="shared" si="2"/>
        <v>Target Achieved</v>
      </c>
    </row>
    <row r="10" spans="1:15" x14ac:dyDescent="0.2">
      <c r="A10" s="3">
        <v>46023</v>
      </c>
      <c r="B10" t="s">
        <v>10</v>
      </c>
      <c r="C10" t="s">
        <v>11</v>
      </c>
      <c r="D10" t="s">
        <v>17</v>
      </c>
      <c r="E10" s="28">
        <v>350000</v>
      </c>
      <c r="F10" s="28">
        <v>330000</v>
      </c>
      <c r="G10" s="11">
        <f t="shared" si="0"/>
        <v>0.94285714285714284</v>
      </c>
      <c r="H10" s="11">
        <f t="shared" si="1"/>
        <v>-20000</v>
      </c>
      <c r="I10" t="str">
        <f t="shared" si="2"/>
        <v>Below Target</v>
      </c>
    </row>
    <row r="11" spans="1:15" x14ac:dyDescent="0.2">
      <c r="A11" s="3">
        <v>46023</v>
      </c>
      <c r="B11" t="s">
        <v>10</v>
      </c>
      <c r="C11" t="s">
        <v>12</v>
      </c>
      <c r="D11" t="s">
        <v>17</v>
      </c>
      <c r="E11" s="28">
        <v>320000</v>
      </c>
      <c r="F11" s="28">
        <v>290000</v>
      </c>
      <c r="G11" s="11">
        <f t="shared" si="0"/>
        <v>0.90625</v>
      </c>
      <c r="H11" s="11">
        <f t="shared" si="1"/>
        <v>-30000</v>
      </c>
      <c r="I11" t="str">
        <f t="shared" si="2"/>
        <v>Below Target</v>
      </c>
    </row>
    <row r="12" spans="1:15" x14ac:dyDescent="0.2">
      <c r="A12" s="3">
        <v>46023</v>
      </c>
      <c r="B12" t="s">
        <v>13</v>
      </c>
      <c r="C12" t="s">
        <v>14</v>
      </c>
      <c r="D12" t="s">
        <v>17</v>
      </c>
      <c r="E12" s="28">
        <v>340000</v>
      </c>
      <c r="F12" s="28">
        <v>360000</v>
      </c>
      <c r="G12" s="11">
        <f t="shared" si="0"/>
        <v>1.0588235294117647</v>
      </c>
      <c r="H12" s="11">
        <f t="shared" si="1"/>
        <v>20000</v>
      </c>
      <c r="I12" t="str">
        <f t="shared" si="2"/>
        <v>Target Achieved</v>
      </c>
    </row>
    <row r="13" spans="1:15" x14ac:dyDescent="0.2">
      <c r="A13" s="3">
        <v>46023</v>
      </c>
      <c r="B13" t="s">
        <v>15</v>
      </c>
      <c r="C13" t="s">
        <v>16</v>
      </c>
      <c r="D13" t="s">
        <v>17</v>
      </c>
      <c r="E13" s="28">
        <v>370000</v>
      </c>
      <c r="F13" s="28">
        <v>390000</v>
      </c>
      <c r="G13" s="11">
        <f t="shared" si="0"/>
        <v>1.0540540540540539</v>
      </c>
      <c r="H13" s="11">
        <f t="shared" si="1"/>
        <v>20000</v>
      </c>
      <c r="I13" t="str">
        <f t="shared" si="2"/>
        <v>Target Achieved</v>
      </c>
    </row>
    <row r="14" spans="1:15" x14ac:dyDescent="0.2">
      <c r="A14" s="3">
        <v>46054</v>
      </c>
      <c r="B14" t="s">
        <v>6</v>
      </c>
      <c r="C14" t="s">
        <v>7</v>
      </c>
      <c r="D14" t="s">
        <v>8</v>
      </c>
      <c r="E14" s="28">
        <v>880000</v>
      </c>
      <c r="F14" s="28">
        <v>840000</v>
      </c>
      <c r="G14" s="11">
        <f t="shared" si="0"/>
        <v>0.95454545454545459</v>
      </c>
      <c r="H14" s="11">
        <f t="shared" si="1"/>
        <v>-40000</v>
      </c>
      <c r="I14" t="str">
        <f t="shared" si="2"/>
        <v>Below Target</v>
      </c>
    </row>
    <row r="15" spans="1:15" x14ac:dyDescent="0.2">
      <c r="A15" s="3">
        <v>46054</v>
      </c>
      <c r="B15" t="s">
        <v>6</v>
      </c>
      <c r="C15" t="s">
        <v>9</v>
      </c>
      <c r="D15" t="s">
        <v>8</v>
      </c>
      <c r="E15" s="28">
        <v>760000</v>
      </c>
      <c r="F15" s="28">
        <v>820000</v>
      </c>
      <c r="G15" s="11">
        <f t="shared" si="0"/>
        <v>1.0789473684210527</v>
      </c>
      <c r="H15" s="11">
        <f t="shared" si="1"/>
        <v>60000</v>
      </c>
      <c r="I15" t="str">
        <f t="shared" si="2"/>
        <v>Target Achieved</v>
      </c>
    </row>
    <row r="16" spans="1:15" x14ac:dyDescent="0.2">
      <c r="A16" s="3">
        <v>46054</v>
      </c>
      <c r="B16" t="s">
        <v>10</v>
      </c>
      <c r="C16" t="s">
        <v>11</v>
      </c>
      <c r="D16" t="s">
        <v>8</v>
      </c>
      <c r="E16" s="28">
        <v>940000</v>
      </c>
      <c r="F16" s="28">
        <v>910000</v>
      </c>
      <c r="G16" s="11">
        <f t="shared" si="0"/>
        <v>0.96808510638297873</v>
      </c>
      <c r="H16" s="11">
        <f t="shared" si="1"/>
        <v>-30000</v>
      </c>
      <c r="I16" t="str">
        <f t="shared" si="2"/>
        <v>Below Target</v>
      </c>
    </row>
    <row r="17" spans="1:9" x14ac:dyDescent="0.2">
      <c r="A17" s="3">
        <v>46054</v>
      </c>
      <c r="B17" t="s">
        <v>10</v>
      </c>
      <c r="C17" t="s">
        <v>12</v>
      </c>
      <c r="D17" t="s">
        <v>8</v>
      </c>
      <c r="E17" s="28">
        <v>780000</v>
      </c>
      <c r="F17" s="28">
        <v>720000</v>
      </c>
      <c r="G17" s="11">
        <f t="shared" si="0"/>
        <v>0.92307692307692313</v>
      </c>
      <c r="H17" s="11">
        <f t="shared" si="1"/>
        <v>-60000</v>
      </c>
      <c r="I17" t="str">
        <f t="shared" si="2"/>
        <v>Below Target</v>
      </c>
    </row>
    <row r="18" spans="1:9" x14ac:dyDescent="0.2">
      <c r="A18" s="3">
        <v>46054</v>
      </c>
      <c r="B18" t="s">
        <v>13</v>
      </c>
      <c r="C18" t="s">
        <v>14</v>
      </c>
      <c r="D18" t="s">
        <v>8</v>
      </c>
      <c r="E18" s="28">
        <v>850000</v>
      </c>
      <c r="F18" s="28">
        <v>890000</v>
      </c>
      <c r="G18" s="11">
        <f t="shared" si="0"/>
        <v>1.0470588235294118</v>
      </c>
      <c r="H18" s="11">
        <f t="shared" si="1"/>
        <v>40000</v>
      </c>
      <c r="I18" t="str">
        <f t="shared" si="2"/>
        <v>Target Achieved</v>
      </c>
    </row>
    <row r="19" spans="1:9" x14ac:dyDescent="0.2">
      <c r="A19" s="3">
        <v>46054</v>
      </c>
      <c r="B19" t="s">
        <v>15</v>
      </c>
      <c r="C19" t="s">
        <v>16</v>
      </c>
      <c r="D19" t="s">
        <v>8</v>
      </c>
      <c r="E19" s="28">
        <v>910000</v>
      </c>
      <c r="F19" s="28">
        <v>860000</v>
      </c>
      <c r="G19" s="11">
        <f t="shared" si="0"/>
        <v>0.94505494505494503</v>
      </c>
      <c r="H19" s="11">
        <f t="shared" si="1"/>
        <v>-50000</v>
      </c>
      <c r="I19" t="str">
        <f t="shared" si="2"/>
        <v>Below Target</v>
      </c>
    </row>
    <row r="20" spans="1:9" x14ac:dyDescent="0.2">
      <c r="A20" s="3">
        <v>46054</v>
      </c>
      <c r="B20" t="s">
        <v>6</v>
      </c>
      <c r="C20" t="s">
        <v>7</v>
      </c>
      <c r="D20" t="s">
        <v>17</v>
      </c>
      <c r="E20" s="28">
        <v>310000</v>
      </c>
      <c r="F20" s="28">
        <v>330000</v>
      </c>
      <c r="G20" s="11">
        <f t="shared" si="0"/>
        <v>1.064516129032258</v>
      </c>
      <c r="H20" s="11">
        <f t="shared" si="1"/>
        <v>20000</v>
      </c>
      <c r="I20" t="str">
        <f t="shared" si="2"/>
        <v>Target Achieved</v>
      </c>
    </row>
    <row r="21" spans="1:9" x14ac:dyDescent="0.2">
      <c r="A21" s="3">
        <v>46054</v>
      </c>
      <c r="B21" t="s">
        <v>6</v>
      </c>
      <c r="C21" t="s">
        <v>9</v>
      </c>
      <c r="D21" t="s">
        <v>17</v>
      </c>
      <c r="E21" s="28">
        <v>290000</v>
      </c>
      <c r="F21" s="28">
        <v>270000</v>
      </c>
      <c r="G21" s="11">
        <f t="shared" si="0"/>
        <v>0.93103448275862066</v>
      </c>
      <c r="H21" s="11">
        <f t="shared" si="1"/>
        <v>-20000</v>
      </c>
      <c r="I21" t="str">
        <f t="shared" si="2"/>
        <v>Below Target</v>
      </c>
    </row>
    <row r="22" spans="1:9" x14ac:dyDescent="0.2">
      <c r="A22" s="3">
        <v>46054</v>
      </c>
      <c r="B22" t="s">
        <v>10</v>
      </c>
      <c r="C22" t="s">
        <v>11</v>
      </c>
      <c r="D22" t="s">
        <v>17</v>
      </c>
      <c r="E22" s="28">
        <v>360000</v>
      </c>
      <c r="F22" s="28">
        <v>380000</v>
      </c>
      <c r="G22" s="11">
        <f t="shared" si="0"/>
        <v>1.0555555555555556</v>
      </c>
      <c r="H22" s="11">
        <f t="shared" si="1"/>
        <v>20000</v>
      </c>
      <c r="I22" t="str">
        <f t="shared" si="2"/>
        <v>Target Achieved</v>
      </c>
    </row>
    <row r="23" spans="1:9" x14ac:dyDescent="0.2">
      <c r="A23" s="3">
        <v>46054</v>
      </c>
      <c r="B23" t="s">
        <v>10</v>
      </c>
      <c r="C23" t="s">
        <v>12</v>
      </c>
      <c r="D23" t="s">
        <v>17</v>
      </c>
      <c r="E23" s="28">
        <v>330000</v>
      </c>
      <c r="F23" s="28">
        <v>300000</v>
      </c>
      <c r="G23" s="11">
        <f t="shared" si="0"/>
        <v>0.90909090909090906</v>
      </c>
      <c r="H23" s="11">
        <f t="shared" si="1"/>
        <v>-30000</v>
      </c>
      <c r="I23" t="str">
        <f t="shared" si="2"/>
        <v>Below Target</v>
      </c>
    </row>
    <row r="24" spans="1:9" x14ac:dyDescent="0.2">
      <c r="A24" s="3">
        <v>46054</v>
      </c>
      <c r="B24" t="s">
        <v>13</v>
      </c>
      <c r="C24" t="s">
        <v>14</v>
      </c>
      <c r="D24" t="s">
        <v>17</v>
      </c>
      <c r="E24" s="28">
        <v>350000</v>
      </c>
      <c r="F24" s="28">
        <v>340000</v>
      </c>
      <c r="G24" s="11">
        <f t="shared" si="0"/>
        <v>0.97142857142857142</v>
      </c>
      <c r="H24" s="11">
        <f t="shared" si="1"/>
        <v>-10000</v>
      </c>
      <c r="I24" t="str">
        <f t="shared" si="2"/>
        <v>Below Target</v>
      </c>
    </row>
    <row r="25" spans="1:9" x14ac:dyDescent="0.2">
      <c r="A25" s="3">
        <v>46054</v>
      </c>
      <c r="B25" t="s">
        <v>15</v>
      </c>
      <c r="C25" t="s">
        <v>16</v>
      </c>
      <c r="D25" t="s">
        <v>17</v>
      </c>
      <c r="E25" s="28">
        <v>390000</v>
      </c>
      <c r="F25" s="28">
        <v>410000</v>
      </c>
      <c r="G25" s="11">
        <f t="shared" si="0"/>
        <v>1.0512820512820513</v>
      </c>
      <c r="H25" s="11">
        <f t="shared" si="1"/>
        <v>20000</v>
      </c>
      <c r="I25" t="str">
        <f t="shared" si="2"/>
        <v>Target Achieved</v>
      </c>
    </row>
    <row r="26" spans="1:9" x14ac:dyDescent="0.2">
      <c r="A26" s="3">
        <v>46082</v>
      </c>
      <c r="B26" t="s">
        <v>6</v>
      </c>
      <c r="C26" t="s">
        <v>7</v>
      </c>
      <c r="D26" t="s">
        <v>8</v>
      </c>
      <c r="E26" s="28">
        <v>900000</v>
      </c>
      <c r="F26" s="28">
        <v>950000</v>
      </c>
      <c r="G26" s="11">
        <f t="shared" si="0"/>
        <v>1.0555555555555556</v>
      </c>
      <c r="H26" s="11">
        <f t="shared" si="1"/>
        <v>50000</v>
      </c>
      <c r="I26" t="str">
        <f t="shared" si="2"/>
        <v>Target Achieved</v>
      </c>
    </row>
    <row r="27" spans="1:9" x14ac:dyDescent="0.2">
      <c r="A27" s="3">
        <v>46082</v>
      </c>
      <c r="B27" t="s">
        <v>6</v>
      </c>
      <c r="C27" t="s">
        <v>9</v>
      </c>
      <c r="D27" t="s">
        <v>8</v>
      </c>
      <c r="E27" s="28">
        <v>800000</v>
      </c>
      <c r="F27" s="28">
        <v>760000</v>
      </c>
      <c r="G27" s="11">
        <f t="shared" si="0"/>
        <v>0.95</v>
      </c>
      <c r="H27" s="11">
        <f t="shared" si="1"/>
        <v>-40000</v>
      </c>
      <c r="I27" t="str">
        <f t="shared" si="2"/>
        <v>Below Target</v>
      </c>
    </row>
    <row r="28" spans="1:9" x14ac:dyDescent="0.2">
      <c r="A28" s="3">
        <v>46082</v>
      </c>
      <c r="B28" t="s">
        <v>10</v>
      </c>
      <c r="C28" t="s">
        <v>11</v>
      </c>
      <c r="D28" t="s">
        <v>8</v>
      </c>
      <c r="E28" s="28">
        <v>960000</v>
      </c>
      <c r="F28" s="28">
        <v>990000</v>
      </c>
      <c r="G28" s="11">
        <f t="shared" si="0"/>
        <v>1.03125</v>
      </c>
      <c r="H28" s="11">
        <f t="shared" si="1"/>
        <v>30000</v>
      </c>
      <c r="I28" t="str">
        <f t="shared" si="2"/>
        <v>Target Achieved</v>
      </c>
    </row>
    <row r="29" spans="1:9" x14ac:dyDescent="0.2">
      <c r="A29" s="3">
        <v>46082</v>
      </c>
      <c r="B29" t="s">
        <v>10</v>
      </c>
      <c r="C29" t="s">
        <v>12</v>
      </c>
      <c r="D29" t="s">
        <v>8</v>
      </c>
      <c r="E29" s="28">
        <v>820000</v>
      </c>
      <c r="F29" s="28">
        <v>780000</v>
      </c>
      <c r="G29" s="11">
        <f t="shared" si="0"/>
        <v>0.95121951219512191</v>
      </c>
      <c r="H29" s="11">
        <f t="shared" si="1"/>
        <v>-40000</v>
      </c>
      <c r="I29" t="str">
        <f t="shared" si="2"/>
        <v>Below Target</v>
      </c>
    </row>
    <row r="30" spans="1:9" x14ac:dyDescent="0.2">
      <c r="A30" s="3">
        <v>46082</v>
      </c>
      <c r="B30" t="s">
        <v>13</v>
      </c>
      <c r="C30" t="s">
        <v>14</v>
      </c>
      <c r="D30" t="s">
        <v>8</v>
      </c>
      <c r="E30" s="28">
        <v>880000</v>
      </c>
      <c r="F30" s="28">
        <v>910000</v>
      </c>
      <c r="G30" s="11">
        <f t="shared" si="0"/>
        <v>1.0340909090909092</v>
      </c>
      <c r="H30" s="11">
        <f t="shared" si="1"/>
        <v>30000</v>
      </c>
      <c r="I30" t="str">
        <f t="shared" si="2"/>
        <v>Target Achieved</v>
      </c>
    </row>
    <row r="31" spans="1:9" x14ac:dyDescent="0.2">
      <c r="A31" s="3">
        <v>46082</v>
      </c>
      <c r="B31" t="s">
        <v>15</v>
      </c>
      <c r="C31" t="s">
        <v>16</v>
      </c>
      <c r="D31" t="s">
        <v>8</v>
      </c>
      <c r="E31" s="28">
        <v>940000</v>
      </c>
      <c r="F31" s="28">
        <v>920000</v>
      </c>
      <c r="G31" s="11">
        <f t="shared" si="0"/>
        <v>0.97872340425531912</v>
      </c>
      <c r="H31" s="11">
        <f t="shared" si="1"/>
        <v>-20000</v>
      </c>
      <c r="I31" t="str">
        <f t="shared" si="2"/>
        <v>Below Target</v>
      </c>
    </row>
  </sheetData>
  <mergeCells count="2">
    <mergeCell ref="L2:O2"/>
    <mergeCell ref="L3:O3"/>
  </mergeCells>
  <conditionalFormatting sqref="G2:G31">
    <cfRule type="cellIs" dxfId="2" priority="1" operator="lessThan">
      <formula>1</formula>
    </cfRule>
    <cfRule type="cellIs" dxfId="1" priority="2" operator="greaterThan">
      <formula>1</formula>
    </cfRule>
    <cfRule type="cellIs" dxfId="0" priority="3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="90" zoomScaleNormal="90" workbookViewId="0">
      <selection activeCell="D8" sqref="D8"/>
    </sheetView>
  </sheetViews>
  <sheetFormatPr defaultRowHeight="14.25" x14ac:dyDescent="0.2"/>
  <cols>
    <col min="1" max="1" width="27.75" customWidth="1"/>
    <col min="2" max="2" width="23.25" customWidth="1"/>
    <col min="3" max="3" width="22.75" customWidth="1"/>
    <col min="4" max="4" width="19.75" customWidth="1"/>
    <col min="5" max="5" width="13" customWidth="1"/>
    <col min="6" max="8" width="11.875" customWidth="1"/>
    <col min="9" max="9" width="9.625" customWidth="1"/>
    <col min="10" max="15" width="11.875" customWidth="1"/>
    <col min="16" max="16" width="9.625" customWidth="1"/>
    <col min="17" max="30" width="11.875" customWidth="1"/>
    <col min="31" max="31" width="22.75" customWidth="1"/>
    <col min="32" max="32" width="9.625" customWidth="1"/>
    <col min="33" max="37" width="11.875" customWidth="1"/>
    <col min="38" max="38" width="9.625" customWidth="1"/>
    <col min="39" max="44" width="11.875" customWidth="1"/>
    <col min="45" max="45" width="9.625" customWidth="1"/>
    <col min="46" max="59" width="11.875" customWidth="1"/>
    <col min="60" max="60" width="28.375" customWidth="1"/>
    <col min="61" max="61" width="27.875" customWidth="1"/>
  </cols>
  <sheetData>
    <row r="1" spans="1:4" ht="20.25" customHeight="1" thickBot="1" x14ac:dyDescent="0.35">
      <c r="A1" s="21" t="s">
        <v>35</v>
      </c>
      <c r="B1" s="22"/>
      <c r="C1" s="25"/>
    </row>
    <row r="2" spans="1:4" ht="15.75" customHeight="1" x14ac:dyDescent="0.25">
      <c r="A2" s="13"/>
    </row>
    <row r="3" spans="1:4" ht="15" x14ac:dyDescent="0.25">
      <c r="A3" s="23" t="s">
        <v>27</v>
      </c>
    </row>
    <row r="5" spans="1:4" ht="15" x14ac:dyDescent="0.25">
      <c r="A5" s="14" t="s">
        <v>22</v>
      </c>
      <c r="B5" s="14" t="s">
        <v>23</v>
      </c>
    </row>
    <row r="6" spans="1:4" x14ac:dyDescent="0.2">
      <c r="A6" s="15" t="s">
        <v>24</v>
      </c>
      <c r="B6" s="26">
        <f>SUM(Data!E2:E31)</f>
        <v>19450000</v>
      </c>
    </row>
    <row r="7" spans="1:4" x14ac:dyDescent="0.2">
      <c r="A7" s="16" t="s">
        <v>25</v>
      </c>
      <c r="B7" s="26">
        <f>SUM(Data!F2:F31)</f>
        <v>19763800</v>
      </c>
    </row>
    <row r="8" spans="1:4" x14ac:dyDescent="0.2">
      <c r="A8" s="16" t="s">
        <v>26</v>
      </c>
      <c r="B8" s="17">
        <f>B7/B6</f>
        <v>1.016133676092545</v>
      </c>
    </row>
    <row r="10" spans="1:4" ht="15" x14ac:dyDescent="0.25">
      <c r="A10" s="24" t="s">
        <v>28</v>
      </c>
    </row>
    <row r="12" spans="1:4" x14ac:dyDescent="0.2">
      <c r="A12" s="18" t="s">
        <v>1</v>
      </c>
      <c r="B12" t="s">
        <v>30</v>
      </c>
      <c r="C12" t="s">
        <v>31</v>
      </c>
      <c r="D12" s="20" t="s">
        <v>33</v>
      </c>
    </row>
    <row r="13" spans="1:4" x14ac:dyDescent="0.2">
      <c r="A13" s="19" t="s">
        <v>13</v>
      </c>
      <c r="B13" s="27">
        <v>3250000</v>
      </c>
      <c r="C13" s="27">
        <v>3290000</v>
      </c>
      <c r="D13" s="20">
        <v>1.0123076923076924</v>
      </c>
    </row>
    <row r="14" spans="1:4" x14ac:dyDescent="0.2">
      <c r="A14" s="19" t="s">
        <v>6</v>
      </c>
      <c r="B14" s="27">
        <v>6150000</v>
      </c>
      <c r="C14" s="27">
        <v>6446000</v>
      </c>
      <c r="D14" s="20">
        <v>1.048130081300813</v>
      </c>
    </row>
    <row r="15" spans="1:4" x14ac:dyDescent="0.2">
      <c r="A15" s="19" t="s">
        <v>10</v>
      </c>
      <c r="B15" s="27">
        <v>6540000</v>
      </c>
      <c r="C15" s="27">
        <v>6507800</v>
      </c>
      <c r="D15" s="20">
        <v>0.99507645259938837</v>
      </c>
    </row>
    <row r="16" spans="1:4" x14ac:dyDescent="0.2">
      <c r="A16" s="19" t="s">
        <v>15</v>
      </c>
      <c r="B16" s="27">
        <v>3510000</v>
      </c>
      <c r="C16" s="27">
        <v>3520000</v>
      </c>
      <c r="D16" s="20">
        <v>1.0028490028490029</v>
      </c>
    </row>
    <row r="17" spans="1:4" x14ac:dyDescent="0.2">
      <c r="A17" s="19" t="s">
        <v>29</v>
      </c>
      <c r="B17" s="27">
        <v>19450000</v>
      </c>
      <c r="C17" s="27">
        <v>19763800</v>
      </c>
      <c r="D17" s="20">
        <v>1.016133676092545</v>
      </c>
    </row>
    <row r="19" spans="1:4" ht="15" x14ac:dyDescent="0.25">
      <c r="A19" s="24" t="s">
        <v>34</v>
      </c>
    </row>
    <row r="21" spans="1:4" x14ac:dyDescent="0.2">
      <c r="A21" s="18" t="s">
        <v>1</v>
      </c>
      <c r="B21" t="s">
        <v>30</v>
      </c>
      <c r="C21" t="s">
        <v>31</v>
      </c>
      <c r="D21" s="20" t="s">
        <v>33</v>
      </c>
    </row>
    <row r="22" spans="1:4" x14ac:dyDescent="0.2">
      <c r="A22" s="19" t="s">
        <v>7</v>
      </c>
      <c r="B22" s="27">
        <v>3240000</v>
      </c>
      <c r="C22" s="27">
        <v>3596000</v>
      </c>
      <c r="D22" s="20">
        <v>1.1098765432098765</v>
      </c>
    </row>
    <row r="23" spans="1:4" x14ac:dyDescent="0.2">
      <c r="A23" s="19" t="s">
        <v>11</v>
      </c>
      <c r="B23" s="27">
        <v>3530000</v>
      </c>
      <c r="C23" s="27">
        <v>3607800</v>
      </c>
      <c r="D23" s="20">
        <v>1.0220396600566573</v>
      </c>
    </row>
    <row r="24" spans="1:4" x14ac:dyDescent="0.2">
      <c r="A24" s="19" t="s">
        <v>14</v>
      </c>
      <c r="B24" s="27">
        <v>3250000</v>
      </c>
      <c r="C24" s="27">
        <v>3290000</v>
      </c>
      <c r="D24" s="20">
        <v>1.0123076923076924</v>
      </c>
    </row>
    <row r="25" spans="1:4" x14ac:dyDescent="0.2">
      <c r="A25" s="19" t="s">
        <v>16</v>
      </c>
      <c r="B25" s="27">
        <v>3510000</v>
      </c>
      <c r="C25" s="27">
        <v>3520000</v>
      </c>
      <c r="D25" s="20">
        <v>1.0028490028490029</v>
      </c>
    </row>
    <row r="26" spans="1:4" x14ac:dyDescent="0.2">
      <c r="A26" s="19" t="s">
        <v>9</v>
      </c>
      <c r="B26" s="27">
        <v>2910000</v>
      </c>
      <c r="C26" s="27">
        <v>2850000</v>
      </c>
      <c r="D26" s="20">
        <v>0.97938144329896903</v>
      </c>
    </row>
    <row r="27" spans="1:4" x14ac:dyDescent="0.2">
      <c r="A27" s="19" t="s">
        <v>12</v>
      </c>
      <c r="B27" s="27">
        <v>3010000</v>
      </c>
      <c r="C27" s="27">
        <v>2900000</v>
      </c>
      <c r="D27" s="20">
        <v>0.96345514950166111</v>
      </c>
    </row>
    <row r="28" spans="1:4" x14ac:dyDescent="0.2">
      <c r="A28" s="19" t="s">
        <v>29</v>
      </c>
      <c r="B28" s="27">
        <v>19450000</v>
      </c>
      <c r="C28" s="27">
        <v>19763800</v>
      </c>
      <c r="D28" s="20">
        <v>1.016133676092545</v>
      </c>
    </row>
  </sheetData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zoomScalePageLayoutView="80" workbookViewId="0">
      <selection activeCell="G7" sqref="G7"/>
    </sheetView>
  </sheetViews>
  <sheetFormatPr defaultRowHeight="14.25" x14ac:dyDescent="0.2"/>
  <sheetData>
    <row r="1" spans="1:6" ht="20.25" x14ac:dyDescent="0.3">
      <c r="A1" s="34" t="s">
        <v>50</v>
      </c>
      <c r="B1" s="34"/>
      <c r="C1" s="34"/>
      <c r="D1" s="34"/>
      <c r="E1" s="34"/>
      <c r="F1" s="34"/>
    </row>
    <row r="2" spans="1:6" x14ac:dyDescent="0.2">
      <c r="A2" t="s">
        <v>49</v>
      </c>
    </row>
    <row r="3" spans="1:6" x14ac:dyDescent="0.2">
      <c r="A3" t="s">
        <v>48</v>
      </c>
    </row>
    <row r="4" spans="1:6" x14ac:dyDescent="0.2">
      <c r="A4" t="s">
        <v>47</v>
      </c>
    </row>
    <row r="6" spans="1:6" ht="15" x14ac:dyDescent="0.25">
      <c r="A6" s="33" t="s">
        <v>46</v>
      </c>
      <c r="B6" s="33"/>
      <c r="C6" s="33"/>
    </row>
    <row r="7" spans="1:6" x14ac:dyDescent="0.2">
      <c r="A7" t="s">
        <v>45</v>
      </c>
    </row>
    <row r="8" spans="1:6" x14ac:dyDescent="0.2">
      <c r="A8" t="s">
        <v>44</v>
      </c>
    </row>
    <row r="9" spans="1:6" x14ac:dyDescent="0.2">
      <c r="A9" t="s">
        <v>43</v>
      </c>
    </row>
    <row r="11" spans="1:6" ht="15" x14ac:dyDescent="0.25">
      <c r="A11" s="33" t="s">
        <v>34</v>
      </c>
      <c r="B11" s="33"/>
      <c r="C11" s="33"/>
    </row>
    <row r="12" spans="1:6" x14ac:dyDescent="0.2">
      <c r="A12" t="s">
        <v>42</v>
      </c>
    </row>
    <row r="13" spans="1:6" x14ac:dyDescent="0.2">
      <c r="A13" t="s">
        <v>41</v>
      </c>
    </row>
    <row r="15" spans="1:6" ht="15" x14ac:dyDescent="0.25">
      <c r="A15" s="33" t="s">
        <v>40</v>
      </c>
      <c r="B15" s="33"/>
      <c r="C15" s="33"/>
    </row>
    <row r="16" spans="1:6" x14ac:dyDescent="0.2">
      <c r="A16" t="s">
        <v>39</v>
      </c>
    </row>
    <row r="17" spans="1:1" x14ac:dyDescent="0.2">
      <c r="A17" t="s">
        <v>38</v>
      </c>
    </row>
    <row r="18" spans="1:1" x14ac:dyDescent="0.2">
      <c r="A18" t="s">
        <v>37</v>
      </c>
    </row>
    <row r="19" spans="1:1" x14ac:dyDescent="0.2">
      <c r="A19" t="s">
        <v>36</v>
      </c>
    </row>
  </sheetData>
  <mergeCells count="4">
    <mergeCell ref="A1:F1"/>
    <mergeCell ref="A11:C11"/>
    <mergeCell ref="A15:C1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</vt:lpstr>
      <vt:lpstr>Data</vt:lpstr>
      <vt:lpstr>Sales Report</vt:lpstr>
      <vt:lpstr>Target-Actual Report</vt:lpstr>
      <vt:lpstr>'Target-Actual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2026-02-22T12:22:55Z</dcterms:created>
  <dcterms:modified xsi:type="dcterms:W3CDTF">2026-02-23T13:45:02Z</dcterms:modified>
</cp:coreProperties>
</file>