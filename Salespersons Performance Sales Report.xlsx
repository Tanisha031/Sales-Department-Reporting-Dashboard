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E:\Desktop\"/>
    </mc:Choice>
  </mc:AlternateContent>
  <bookViews>
    <workbookView xWindow="0" yWindow="0" windowWidth="20490" windowHeight="7095" activeTab="2"/>
  </bookViews>
  <sheets>
    <sheet name="Raw" sheetId="1" r:id="rId1"/>
    <sheet name="Data Table" sheetId="2" r:id="rId2"/>
    <sheet name="Performance_Report" sheetId="4" r:id="rId3"/>
  </sheets>
  <calcPr calcId="162913"/>
  <pivotCaches>
    <pivotCache cacheId="20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0" i="4" l="1"/>
  <c r="J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F32" i="2"/>
  <c r="E32" i="2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I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 l="1"/>
</calcChain>
</file>

<file path=xl/sharedStrings.xml><?xml version="1.0" encoding="utf-8"?>
<sst xmlns="http://schemas.openxmlformats.org/spreadsheetml/2006/main" count="226" uniqueCount="46">
  <si>
    <t>Date</t>
  </si>
  <si>
    <t>Employee Name</t>
  </si>
  <si>
    <t>Region</t>
  </si>
  <si>
    <t>Product</t>
  </si>
  <si>
    <t>Sales Target</t>
  </si>
  <si>
    <t>Actual Sales</t>
  </si>
  <si>
    <t>New Clients</t>
  </si>
  <si>
    <t>Calls Made</t>
  </si>
  <si>
    <t>Ahmed Khan</t>
  </si>
  <si>
    <t>North</t>
  </si>
  <si>
    <t>Product A</t>
  </si>
  <si>
    <t>Sara Ali</t>
  </si>
  <si>
    <t>South</t>
  </si>
  <si>
    <t>Product B</t>
  </si>
  <si>
    <t>Bilal Ahmed</t>
  </si>
  <si>
    <t>East</t>
  </si>
  <si>
    <t>Product C</t>
  </si>
  <si>
    <t>Ayesha Malik</t>
  </si>
  <si>
    <t>West</t>
  </si>
  <si>
    <t>Product to Electronics</t>
  </si>
  <si>
    <t>Product B to Furniture</t>
  </si>
  <si>
    <t>Product C to Clothing</t>
  </si>
  <si>
    <t>Product D to Accessories</t>
  </si>
  <si>
    <t>Replace values;</t>
  </si>
  <si>
    <t>Electronics</t>
  </si>
  <si>
    <t>Clothing</t>
  </si>
  <si>
    <t>Furniture</t>
  </si>
  <si>
    <t>Achievement%</t>
  </si>
  <si>
    <t>Performance Status</t>
  </si>
  <si>
    <t>Grand Total</t>
  </si>
  <si>
    <t>Variance</t>
  </si>
  <si>
    <t>Salesperson Performance Analysis</t>
  </si>
  <si>
    <t>Salespersons</t>
  </si>
  <si>
    <t>Total Sales Target</t>
  </si>
  <si>
    <t>Total Actual Sales</t>
  </si>
  <si>
    <t xml:space="preserve"> Achievement %.</t>
  </si>
  <si>
    <t>Total New Clients</t>
  </si>
  <si>
    <t>Total Calls Made</t>
  </si>
  <si>
    <t>KPI</t>
  </si>
  <si>
    <t>Values</t>
  </si>
  <si>
    <t>Total Target Sales</t>
  </si>
  <si>
    <t>Overall Achievement %</t>
  </si>
  <si>
    <t>Best Performer</t>
  </si>
  <si>
    <t>Sales per Call</t>
  </si>
  <si>
    <t>Overall Summary</t>
  </si>
  <si>
    <t>Salespersons Performance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</si>
</sst>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(&quot;$&quot;* #,##0.00_);_(&quot;$&quot;* \(#,##0.00\);_(&quot;$&quot;* &quot;-&quot;??_);_(@_)"/>
    <numFmt numFmtId="170" formatCode="_-[$Rs-420]\ * #,##0_-;\-[$Rs-420]\ * #,##0_-;_-[$Rs-420]\ * &quot;-&quot;??_-;_-@_-"/>
    <numFmt numFmtId="179" formatCode="_(&quot;$&quot;* #,##0_);_(&quot;$&quot;* \(#,##0\);_(&quot;$&quot;* &quot;-&quot;??_);_(@_)"/>
  </numFmts>
  <fonts count="5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6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2" fillId="0" borderId="0" xfId="0" applyFont="1" applyAlignment="1">
      <alignment horizontal="center" vertical="center" wrapText="1"/>
    </xf>
    <xf numFmtId="15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9" fontId="2" fillId="0" borderId="0" xfId="2" applyFont="1" applyAlignment="1">
      <alignment horizontal="center" vertical="center" wrapText="1"/>
    </xf>
    <xf numFmtId="9" fontId="0" fillId="0" borderId="0" xfId="2" applyFont="1" applyAlignment="1">
      <alignment vertical="center" wrapText="1"/>
    </xf>
    <xf numFmtId="9" fontId="0" fillId="0" borderId="0" xfId="2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70" fontId="0" fillId="0" borderId="0" xfId="0" applyNumberFormat="1"/>
    <xf numFmtId="170" fontId="0" fillId="0" borderId="0" xfId="0" applyNumberFormat="1" applyAlignment="1">
      <alignment vertical="center" wrapText="1"/>
    </xf>
    <xf numFmtId="9" fontId="0" fillId="0" borderId="0" xfId="0" applyNumberFormat="1"/>
    <xf numFmtId="0" fontId="0" fillId="0" borderId="0" xfId="0" applyNumberFormat="1" applyAlignment="1">
      <alignment vertical="center" wrapText="1"/>
    </xf>
    <xf numFmtId="0" fontId="3" fillId="0" borderId="0" xfId="0" applyFont="1"/>
    <xf numFmtId="0" fontId="3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0" fillId="0" borderId="1" xfId="0" applyBorder="1"/>
    <xf numFmtId="9" fontId="0" fillId="0" borderId="1" xfId="2" applyFont="1" applyBorder="1"/>
    <xf numFmtId="170" fontId="0" fillId="0" borderId="1" xfId="0" applyNumberFormat="1" applyBorder="1"/>
    <xf numFmtId="179" fontId="0" fillId="0" borderId="1" xfId="1" applyNumberFormat="1" applyFont="1" applyBorder="1"/>
    <xf numFmtId="0" fontId="4" fillId="0" borderId="0" xfId="0" applyFont="1"/>
  </cellXfs>
  <cellStyles count="3">
    <cellStyle name="Currency" xfId="1" builtinId="4"/>
    <cellStyle name="Normal" xfId="0" builtinId="0"/>
    <cellStyle name="Percent" xfId="2" builtinId="5"/>
  </cellStyles>
  <dxfs count="3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70" formatCode="_-[$Rs-420]\ * #,##0_-;\-[$Rs-420]\ * #,##0_-;_-[$Rs-420]\ * &quot;-&quot;??_-;_-@_-"/>
      <alignment horizontal="general" vertical="center" textRotation="0" wrapText="1" indent="0" justifyLastLine="0" shrinkToFit="0" readingOrder="0"/>
    </dxf>
    <dxf>
      <numFmt numFmtId="170" formatCode="_-[$Rs-420]\ * #,##0_-;\-[$Rs-420]\ * #,##0_-;_-[$Rs-420]\ * &quot;-&quot;??_-;_-@_-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20" formatCode="dd/mmm/yy"/>
      <alignment horizontal="general" vertical="center" textRotation="0" wrapText="1" indent="0" justifyLastLine="0" shrinkToFit="0" readingOrder="0"/>
    </dxf>
    <dxf>
      <numFmt numFmtId="13" formatCode="0%"/>
    </dxf>
    <dxf>
      <numFmt numFmtId="170" formatCode="_-[$Rs-420]\ * #,##0_-;\-[$Rs-420]\ * #,##0_-;_-[$Rs-420]\ * &quot;-&quot;??_-;_-@_-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70" formatCode="_-[$Rs-420]\ * #,##0_-;\-[$Rs-420]\ * #,##0_-;_-[$Rs-420]\ * &quot;-&quot;??_-;_-@_-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70" formatCode="_-[$Rs-420]\ * #,##0_-;\-[$Rs-420]\ * #,##0_-;_-[$Rs-420]\ * &quot;-&quot;??_-;_-@_-"/>
    </dxf>
    <dxf>
      <numFmt numFmtId="169" formatCode="_-[$Rs-420]\ * #,##0.0_-;\-[$Rs-420]\ * #,##0.0_-;_-[$Rs-420]\ * &quot;-&quot;??_-;_-@_-"/>
    </dxf>
    <dxf>
      <numFmt numFmtId="168" formatCode="_-[$Rs-420]\ * #,##0.00_-;\-[$Rs-420]\ * #,##0.00_-;_-[$Rs-420]\ * &quot;-&quot;??_-;_-@_-"/>
    </dxf>
    <dxf>
      <numFmt numFmtId="0" formatCode="General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20" formatCode="dd/mmm/yy"/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[Salespersons Performance Sales Report.xlsx]Performance_Report!PivotTable4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 Salespersons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ur-PK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Performance_Report!$B$15</c:f>
              <c:strCache>
                <c:ptCount val="1"/>
                <c:pt idx="0">
                  <c:v>Total Sales Target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Performance_Report!$A$16:$A$20</c:f>
              <c:strCache>
                <c:ptCount val="4"/>
                <c:pt idx="0">
                  <c:v>Ahmed Khan</c:v>
                </c:pt>
                <c:pt idx="1">
                  <c:v>Ayesha Malik</c:v>
                </c:pt>
                <c:pt idx="2">
                  <c:v>Bilal Ahmed</c:v>
                </c:pt>
                <c:pt idx="3">
                  <c:v>Sara Ali</c:v>
                </c:pt>
              </c:strCache>
            </c:strRef>
          </c:cat>
          <c:val>
            <c:numRef>
              <c:f>Performance_Report!$B$16:$B$20</c:f>
              <c:numCache>
                <c:formatCode>_-[$Rs-420]\ * #,##0_-;\-[$Rs-420]\ * #,##0_-;_-[$Rs-420]\ * "-"??_-;_-@_-</c:formatCode>
                <c:ptCount val="4"/>
                <c:pt idx="0">
                  <c:v>1220000</c:v>
                </c:pt>
                <c:pt idx="1">
                  <c:v>1025000</c:v>
                </c:pt>
                <c:pt idx="2">
                  <c:v>820000</c:v>
                </c:pt>
                <c:pt idx="3">
                  <c:v>980000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01-4310-B992-725204F2F6E4}"/>
            </c:ext>
          </c:extLst>
        </c:ser>
        <c:ser>
          <c:idx val="1"/>
          <c:order val="1"/>
          <c:tx>
            <c:strRef>
              <c:f>Performance_Report!$C$15</c:f>
              <c:strCache>
                <c:ptCount val="1"/>
                <c:pt idx="0">
                  <c:v>Total Actual Sales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Performance_Report!$A$16:$A$20</c:f>
              <c:strCache>
                <c:ptCount val="4"/>
                <c:pt idx="0">
                  <c:v>Ahmed Khan</c:v>
                </c:pt>
                <c:pt idx="1">
                  <c:v>Ayesha Malik</c:v>
                </c:pt>
                <c:pt idx="2">
                  <c:v>Bilal Ahmed</c:v>
                </c:pt>
                <c:pt idx="3">
                  <c:v>Sara Ali</c:v>
                </c:pt>
              </c:strCache>
            </c:strRef>
          </c:cat>
          <c:val>
            <c:numRef>
              <c:f>Performance_Report!$C$16:$C$20</c:f>
              <c:numCache>
                <c:formatCode>_-[$Rs-420]\ * #,##0_-;\-[$Rs-420]\ * #,##0_-;_-[$Rs-420]\ * "-"??_-;_-@_-</c:formatCode>
                <c:ptCount val="4"/>
                <c:pt idx="0">
                  <c:v>1235000</c:v>
                </c:pt>
                <c:pt idx="1">
                  <c:v>1071000</c:v>
                </c:pt>
                <c:pt idx="2">
                  <c:v>829000</c:v>
                </c:pt>
                <c:pt idx="3">
                  <c:v>1005000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01-4310-B992-725204F2F6E4}"/>
            </c:ext>
          </c:extLst>
        </c:ser>
        <c:ser>
          <c:idx val="2"/>
          <c:order val="2"/>
          <c:tx>
            <c:strRef>
              <c:f>Performance_Report!$D$15</c:f>
              <c:strCache>
                <c:ptCount val="1"/>
                <c:pt idx="0">
                  <c:v>Total New Clients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Performance_Report!$A$16:$A$20</c:f>
              <c:strCache>
                <c:ptCount val="4"/>
                <c:pt idx="0">
                  <c:v>Ahmed Khan</c:v>
                </c:pt>
                <c:pt idx="1">
                  <c:v>Ayesha Malik</c:v>
                </c:pt>
                <c:pt idx="2">
                  <c:v>Bilal Ahmed</c:v>
                </c:pt>
                <c:pt idx="3">
                  <c:v>Sara Ali</c:v>
                </c:pt>
              </c:strCache>
            </c:strRef>
          </c:cat>
          <c:val>
            <c:numRef>
              <c:f>Performance_Report!$D$16:$D$20</c:f>
              <c:numCache>
                <c:formatCode>General</c:formatCode>
                <c:ptCount val="4"/>
                <c:pt idx="0">
                  <c:v>53</c:v>
                </c:pt>
                <c:pt idx="1">
                  <c:v>53</c:v>
                </c:pt>
                <c:pt idx="2">
                  <c:v>32</c:v>
                </c:pt>
                <c:pt idx="3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301-4310-B992-725204F2F6E4}"/>
            </c:ext>
          </c:extLst>
        </c:ser>
        <c:ser>
          <c:idx val="3"/>
          <c:order val="3"/>
          <c:tx>
            <c:strRef>
              <c:f>Performance_Report!$E$15</c:f>
              <c:strCache>
                <c:ptCount val="1"/>
                <c:pt idx="0">
                  <c:v>Total Calls Made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Performance_Report!$A$16:$A$20</c:f>
              <c:strCache>
                <c:ptCount val="4"/>
                <c:pt idx="0">
                  <c:v>Ahmed Khan</c:v>
                </c:pt>
                <c:pt idx="1">
                  <c:v>Ayesha Malik</c:v>
                </c:pt>
                <c:pt idx="2">
                  <c:v>Bilal Ahmed</c:v>
                </c:pt>
                <c:pt idx="3">
                  <c:v>Sara Ali</c:v>
                </c:pt>
              </c:strCache>
            </c:strRef>
          </c:cat>
          <c:val>
            <c:numRef>
              <c:f>Performance_Report!$E$16:$E$20</c:f>
              <c:numCache>
                <c:formatCode>General</c:formatCode>
                <c:ptCount val="4"/>
                <c:pt idx="0">
                  <c:v>367</c:v>
                </c:pt>
                <c:pt idx="1">
                  <c:v>333</c:v>
                </c:pt>
                <c:pt idx="2">
                  <c:v>244</c:v>
                </c:pt>
                <c:pt idx="3">
                  <c:v>275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301-4310-B992-725204F2F6E4}"/>
            </c:ext>
          </c:extLst>
        </c:ser>
        <c:ser>
          <c:idx val="4"/>
          <c:order val="4"/>
          <c:tx>
            <c:strRef>
              <c:f>Performance_Report!$F$15</c:f>
              <c:strCache>
                <c:ptCount val="1"/>
                <c:pt idx="0">
                  <c:v> Achievement %.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Performance_Report!$A$16:$A$20</c:f>
              <c:strCache>
                <c:ptCount val="4"/>
                <c:pt idx="0">
                  <c:v>Ahmed Khan</c:v>
                </c:pt>
                <c:pt idx="1">
                  <c:v>Ayesha Malik</c:v>
                </c:pt>
                <c:pt idx="2">
                  <c:v>Bilal Ahmed</c:v>
                </c:pt>
                <c:pt idx="3">
                  <c:v>Sara Ali</c:v>
                </c:pt>
              </c:strCache>
            </c:strRef>
          </c:cat>
          <c:val>
            <c:numRef>
              <c:f>Performance_Report!$F$16:$F$20</c:f>
              <c:numCache>
                <c:formatCode>0%</c:formatCode>
                <c:ptCount val="4"/>
                <c:pt idx="0">
                  <c:v>1.0122950819672132</c:v>
                </c:pt>
                <c:pt idx="1">
                  <c:v>1.0448780487804878</c:v>
                </c:pt>
                <c:pt idx="2">
                  <c:v>1.0109756097560976</c:v>
                </c:pt>
                <c:pt idx="3">
                  <c:v>1.0255102040816326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301-4310-B992-725204F2F6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716301328"/>
        <c:axId val="716301744"/>
      </c:barChart>
      <c:catAx>
        <c:axId val="716301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ur-PK"/>
          </a:p>
        </c:txPr>
        <c:crossAx val="716301744"/>
        <c:crosses val="autoZero"/>
        <c:auto val="1"/>
        <c:lblAlgn val="ctr"/>
        <c:lblOffset val="100"/>
        <c:noMultiLvlLbl val="0"/>
      </c:catAx>
      <c:valAx>
        <c:axId val="716301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Rs-420]\ * #,##0_-;\-[$Rs-420]\ * #,##0_-;_-[$Rs-420]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ur-PK"/>
          </a:p>
        </c:txPr>
        <c:crossAx val="716301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ur-PK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ur-PK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47625</xdr:colOff>
      <xdr:row>7</xdr:row>
      <xdr:rowOff>152400</xdr:rowOff>
    </xdr:from>
    <xdr:to>
      <xdr:col>12</xdr:col>
      <xdr:colOff>509587</xdr:colOff>
      <xdr:row>23</xdr:row>
      <xdr:rowOff>52387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Windows User" refreshedDate="46075.818367476852" createdVersion="6" refreshedVersion="6" minRefreshableVersion="3" recordCount="30">
  <cacheSource type="worksheet">
    <worksheetSource name="Table1"/>
  </cacheSource>
  <cacheFields count="12">
    <cacheField name="Date" numFmtId="15">
      <sharedItems containsSemiMixedTypes="0" containsNonDate="0" containsDate="1" containsString="0" minDate="2026-01-01T00:00:00" maxDate="2026-01-16T00:00:00"/>
    </cacheField>
    <cacheField name="Employee Name" numFmtId="0">
      <sharedItems count="4">
        <s v="Ahmed Khan"/>
        <s v="Sara Ali"/>
        <s v="Bilal Ahmed"/>
        <s v="Ayesha Malik"/>
      </sharedItems>
    </cacheField>
    <cacheField name="Region" numFmtId="0">
      <sharedItems/>
    </cacheField>
    <cacheField name="Product" numFmtId="0">
      <sharedItems/>
    </cacheField>
    <cacheField name="Sales Target" numFmtId="170">
      <sharedItems containsSemiMixedTypes="0" containsString="0" containsNumber="1" containsInteger="1" minValue="100000" maxValue="165000"/>
    </cacheField>
    <cacheField name="Actual Sales" numFmtId="170">
      <sharedItems containsSemiMixedTypes="0" containsString="0" containsNumber="1" containsInteger="1" minValue="98000" maxValue="175000"/>
    </cacheField>
    <cacheField name="New Clients" numFmtId="0">
      <sharedItems containsSemiMixedTypes="0" containsString="0" containsNumber="1" containsInteger="1" minValue="3" maxValue="10"/>
    </cacheField>
    <cacheField name="Calls Made" numFmtId="0">
      <sharedItems containsSemiMixedTypes="0" containsString="0" containsNumber="1" containsInteger="1" minValue="28" maxValue="55"/>
    </cacheField>
    <cacheField name="Achievement%" numFmtId="9">
      <sharedItems containsSemiMixedTypes="0" containsString="0" containsNumber="1" minValue="0.91666666666666663" maxValue="1.1538461538461537"/>
    </cacheField>
    <cacheField name="Performance Status" numFmtId="0">
      <sharedItems/>
    </cacheField>
    <cacheField name="Variance" numFmtId="0">
      <sharedItems containsSemiMixedTypes="0" containsString="0" containsNumber="1" containsInteger="1" minValue="-10000" maxValue="20000"/>
    </cacheField>
    <cacheField name="Total Achievement %" numFmtId="0" formula="'Actual Sales'/'Sales Target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0">
  <r>
    <d v="2026-01-01T00:00:00"/>
    <x v="0"/>
    <s v="North"/>
    <s v="Electronics"/>
    <n v="150000"/>
    <n v="142000"/>
    <n v="5"/>
    <n v="40"/>
    <n v="0.94666666666666666"/>
    <s v="Not Achieved"/>
    <n v="-8000"/>
  </r>
  <r>
    <d v="2026-01-01T00:00:00"/>
    <x v="1"/>
    <s v="South"/>
    <s v="Furniture"/>
    <n v="120000"/>
    <n v="135000"/>
    <n v="6"/>
    <n v="35"/>
    <n v="1.125"/>
    <s v="Achieved"/>
    <n v="15000"/>
  </r>
  <r>
    <d v="2026-01-02T00:00:00"/>
    <x v="2"/>
    <s v="East"/>
    <s v="Clothing"/>
    <n v="100000"/>
    <n v="98000"/>
    <n v="4"/>
    <n v="30"/>
    <n v="0.98"/>
    <s v="Not Achieved"/>
    <n v="-2000"/>
  </r>
  <r>
    <d v="2026-01-02T00:00:00"/>
    <x v="3"/>
    <s v="West"/>
    <s v="Electronics"/>
    <n v="130000"/>
    <n v="150000"/>
    <n v="7"/>
    <n v="45"/>
    <n v="1.1538461538461537"/>
    <s v="Achieved"/>
    <n v="20000"/>
  </r>
  <r>
    <d v="2026-01-03T00:00:00"/>
    <x v="0"/>
    <s v="North"/>
    <s v="Furniture"/>
    <n v="160000"/>
    <n v="170000"/>
    <n v="8"/>
    <n v="50"/>
    <n v="1.0625"/>
    <s v="Achieved"/>
    <n v="10000"/>
  </r>
  <r>
    <d v="2026-01-03T00:00:00"/>
    <x v="1"/>
    <s v="South"/>
    <s v="Clothing"/>
    <n v="110000"/>
    <n v="105000"/>
    <n v="3"/>
    <n v="28"/>
    <n v="0.95454545454545459"/>
    <s v="Not Achieved"/>
    <n v="-5000"/>
  </r>
  <r>
    <d v="2026-01-04T00:00:00"/>
    <x v="2"/>
    <s v="East"/>
    <s v="Electronics"/>
    <n v="125000"/>
    <n v="130000"/>
    <n v="5"/>
    <n v="38"/>
    <n v="1.04"/>
    <s v="Achieved"/>
    <n v="5000"/>
  </r>
  <r>
    <d v="2026-01-04T00:00:00"/>
    <x v="3"/>
    <s v="West"/>
    <s v="Furniture"/>
    <n v="140000"/>
    <n v="138000"/>
    <n v="6"/>
    <n v="41"/>
    <n v="0.98571428571428577"/>
    <s v="Not Achieved"/>
    <n v="-2000"/>
  </r>
  <r>
    <d v="2026-01-05T00:00:00"/>
    <x v="0"/>
    <s v="North"/>
    <s v="Clothing"/>
    <n v="155000"/>
    <n v="160000"/>
    <n v="7"/>
    <n v="47"/>
    <n v="1.032258064516129"/>
    <s v="Achieved"/>
    <n v="5000"/>
  </r>
  <r>
    <d v="2026-01-05T00:00:00"/>
    <x v="1"/>
    <s v="South"/>
    <s v="Electronics"/>
    <n v="130000"/>
    <n v="120000"/>
    <n v="4"/>
    <n v="32"/>
    <n v="0.92307692307692313"/>
    <s v="Not Achieved"/>
    <n v="-10000"/>
  </r>
  <r>
    <d v="2026-01-06T00:00:00"/>
    <x v="2"/>
    <s v="East"/>
    <s v="Furniture"/>
    <n v="115000"/>
    <n v="118000"/>
    <n v="5"/>
    <n v="36"/>
    <n v="1.0260869565217392"/>
    <s v="Achieved"/>
    <n v="3000"/>
  </r>
  <r>
    <d v="2026-01-06T00:00:00"/>
    <x v="3"/>
    <s v="West"/>
    <s v="Clothing"/>
    <n v="150000"/>
    <n v="165000"/>
    <n v="9"/>
    <n v="52"/>
    <n v="1.1000000000000001"/>
    <s v="Achieved"/>
    <n v="15000"/>
  </r>
  <r>
    <d v="2026-01-07T00:00:00"/>
    <x v="0"/>
    <s v="North"/>
    <s v="Electronics"/>
    <n v="140000"/>
    <n v="135000"/>
    <n v="6"/>
    <n v="42"/>
    <n v="0.9642857142857143"/>
    <s v="Not Achieved"/>
    <n v="-5000"/>
  </r>
  <r>
    <d v="2026-01-07T00:00:00"/>
    <x v="1"/>
    <s v="South"/>
    <s v="Furniture"/>
    <n v="125000"/>
    <n v="140000"/>
    <n v="7"/>
    <n v="39"/>
    <n v="1.1200000000000001"/>
    <s v="Achieved"/>
    <n v="15000"/>
  </r>
  <r>
    <d v="2026-01-08T00:00:00"/>
    <x v="2"/>
    <s v="East"/>
    <s v="Clothing"/>
    <n v="105000"/>
    <n v="100000"/>
    <n v="3"/>
    <n v="29"/>
    <n v="0.95238095238095233"/>
    <s v="Not Achieved"/>
    <n v="-5000"/>
  </r>
  <r>
    <d v="2026-01-08T00:00:00"/>
    <x v="3"/>
    <s v="West"/>
    <s v="Electronics"/>
    <n v="145000"/>
    <n v="150000"/>
    <n v="8"/>
    <n v="48"/>
    <n v="1.0344827586206897"/>
    <s v="Achieved"/>
    <n v="5000"/>
  </r>
  <r>
    <d v="2026-01-09T00:00:00"/>
    <x v="0"/>
    <s v="North"/>
    <s v="Furniture"/>
    <n v="150000"/>
    <n v="148000"/>
    <n v="5"/>
    <n v="44"/>
    <n v="0.98666666666666669"/>
    <s v="Not Achieved"/>
    <n v="-2000"/>
  </r>
  <r>
    <d v="2026-01-09T00:00:00"/>
    <x v="1"/>
    <s v="South"/>
    <s v="Clothing"/>
    <n v="115000"/>
    <n v="120000"/>
    <n v="4"/>
    <n v="33"/>
    <n v="1.0434782608695652"/>
    <s v="Achieved"/>
    <n v="5000"/>
  </r>
  <r>
    <d v="2026-01-10T00:00:00"/>
    <x v="2"/>
    <s v="East"/>
    <s v="Electronics"/>
    <n v="135000"/>
    <n v="140000"/>
    <n v="6"/>
    <n v="40"/>
    <n v="1.037037037037037"/>
    <s v="Achieved"/>
    <n v="5000"/>
  </r>
  <r>
    <d v="2026-01-10T00:00:00"/>
    <x v="3"/>
    <s v="West"/>
    <s v="Furniture"/>
    <n v="155000"/>
    <n v="160000"/>
    <n v="7"/>
    <n v="49"/>
    <n v="1.032258064516129"/>
    <s v="Achieved"/>
    <n v="5000"/>
  </r>
  <r>
    <d v="2026-01-11T00:00:00"/>
    <x v="0"/>
    <s v="North"/>
    <s v="Clothing"/>
    <n v="160000"/>
    <n v="175000"/>
    <n v="9"/>
    <n v="53"/>
    <n v="1.09375"/>
    <s v="Achieved"/>
    <n v="15000"/>
  </r>
  <r>
    <d v="2026-01-11T00:00:00"/>
    <x v="1"/>
    <s v="South"/>
    <s v="Electronics"/>
    <n v="120000"/>
    <n v="110000"/>
    <n v="3"/>
    <n v="30"/>
    <n v="0.91666666666666663"/>
    <s v="Not Achieved"/>
    <n v="-10000"/>
  </r>
  <r>
    <d v="2026-01-12T00:00:00"/>
    <x v="2"/>
    <s v="East"/>
    <s v="Furniture"/>
    <n v="130000"/>
    <n v="128000"/>
    <n v="4"/>
    <n v="37"/>
    <n v="0.98461538461538467"/>
    <s v="Not Achieved"/>
    <n v="-2000"/>
  </r>
  <r>
    <d v="2026-01-12T00:00:00"/>
    <x v="3"/>
    <s v="West"/>
    <s v="Clothing"/>
    <n v="165000"/>
    <n v="170000"/>
    <n v="10"/>
    <n v="55"/>
    <n v="1.0303030303030303"/>
    <s v="Achieved"/>
    <n v="5000"/>
  </r>
  <r>
    <d v="2026-01-13T00:00:00"/>
    <x v="0"/>
    <s v="North"/>
    <s v="Electronics"/>
    <n v="150000"/>
    <n v="155000"/>
    <n v="6"/>
    <n v="46"/>
    <n v="1.0333333333333334"/>
    <s v="Achieved"/>
    <n v="5000"/>
  </r>
  <r>
    <d v="2026-01-13T00:00:00"/>
    <x v="1"/>
    <s v="South"/>
    <s v="Furniture"/>
    <n v="135000"/>
    <n v="145000"/>
    <n v="8"/>
    <n v="42"/>
    <n v="1.0740740740740742"/>
    <s v="Achieved"/>
    <n v="10000"/>
  </r>
  <r>
    <d v="2026-01-14T00:00:00"/>
    <x v="2"/>
    <s v="East"/>
    <s v="Clothing"/>
    <n v="110000"/>
    <n v="115000"/>
    <n v="5"/>
    <n v="34"/>
    <n v="1.0454545454545454"/>
    <s v="Achieved"/>
    <n v="5000"/>
  </r>
  <r>
    <d v="2026-01-14T00:00:00"/>
    <x v="3"/>
    <s v="West"/>
    <s v="Electronics"/>
    <n v="140000"/>
    <n v="138000"/>
    <n v="6"/>
    <n v="43"/>
    <n v="0.98571428571428577"/>
    <s v="Not Achieved"/>
    <n v="-2000"/>
  </r>
  <r>
    <d v="2026-01-15T00:00:00"/>
    <x v="0"/>
    <s v="North"/>
    <s v="Furniture"/>
    <n v="155000"/>
    <n v="150000"/>
    <n v="7"/>
    <n v="45"/>
    <n v="0.967741935483871"/>
    <s v="Not Achieved"/>
    <n v="-5000"/>
  </r>
  <r>
    <d v="2026-01-15T00:00:00"/>
    <x v="1"/>
    <s v="South"/>
    <s v="Clothing"/>
    <n v="125000"/>
    <n v="130000"/>
    <n v="5"/>
    <n v="36"/>
    <n v="1.04"/>
    <s v="Achieved"/>
    <n v="5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2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" rowHeaderCaption="Salespersons">
  <location ref="A15:F20" firstHeaderRow="0" firstDataRow="1" firstDataCol="1"/>
  <pivotFields count="12">
    <pivotField numFmtId="15" showAll="0"/>
    <pivotField axis="axisRow" showAll="0">
      <items count="5">
        <item x="0"/>
        <item x="3"/>
        <item x="2"/>
        <item x="1"/>
        <item t="default"/>
      </items>
    </pivotField>
    <pivotField showAll="0"/>
    <pivotField showAll="0"/>
    <pivotField dataField="1" showAll="0"/>
    <pivotField dataField="1" showAll="0"/>
    <pivotField dataField="1" showAll="0"/>
    <pivotField dataField="1" showAll="0"/>
    <pivotField numFmtId="9" showAll="0"/>
    <pivotField showAll="0"/>
    <pivotField showAll="0" defaultSubtotal="0"/>
    <pivotField dataField="1" dragToRow="0" dragToCol="0" dragToPage="0" showAll="0" defaultSubtota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Total Sales Target" fld="4" baseField="0" baseItem="0" numFmtId="170"/>
    <dataField name="Total Actual Sales" fld="5" baseField="0" baseItem="0" numFmtId="170"/>
    <dataField name="Total New Clients" fld="6" baseField="0" baseItem="0"/>
    <dataField name="Total Calls Made" fld="7" baseField="0" baseItem="0"/>
    <dataField name=" Achievement %." fld="11" baseField="0" baseItem="0" numFmtId="9"/>
  </dataFields>
  <formats count="4">
    <format dxfId="25">
      <pivotArea outline="0" collapsedLevelsAreSubtotals="1" fieldPosition="0">
        <references count="1">
          <reference field="4294967294" count="2" selected="0">
            <x v="0"/>
            <x v="1"/>
          </reference>
        </references>
      </pivotArea>
    </format>
    <format dxfId="24">
      <pivotArea outline="0" collapsedLevelsAreSubtotals="1" fieldPosition="0">
        <references count="1">
          <reference field="4294967294" count="2" selected="0">
            <x v="0"/>
            <x v="1"/>
          </reference>
        </references>
      </pivotArea>
    </format>
    <format dxfId="23">
      <pivotArea outline="0" collapsedLevelsAreSubtotals="1" fieldPosition="0">
        <references count="1">
          <reference field="4294967294" count="2" selected="0">
            <x v="0"/>
            <x v="1"/>
          </reference>
        </references>
      </pivotArea>
    </format>
    <format dxfId="18">
      <pivotArea outline="0" collapsedLevelsAreSubtotals="1" fieldPosition="0">
        <references count="1">
          <reference field="4294967294" count="1" selected="0">
            <x v="4"/>
          </reference>
        </references>
      </pivotArea>
    </format>
  </formats>
  <chartFormats count="10">
    <chartFormat chart="0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7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8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9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K32" totalsRowCount="1" headerRowDxfId="28" dataDxfId="29">
  <autoFilter ref="A1:K32"/>
  <tableColumns count="11">
    <tableColumn id="1" name="Date" dataDxfId="33" totalsRowDxfId="17"/>
    <tableColumn id="2" name="Employee Name" dataDxfId="32" totalsRowDxfId="16"/>
    <tableColumn id="3" name="Region" dataDxfId="31" totalsRowDxfId="15"/>
    <tableColumn id="4" name="Product" dataDxfId="22" totalsRowDxfId="14"/>
    <tableColumn id="5" name="Sales Target" totalsRowFunction="custom" dataDxfId="21" totalsRowDxfId="13">
      <totalsRowFormula>SUM(Table1[Sales Target])</totalsRowFormula>
    </tableColumn>
    <tableColumn id="6" name="Actual Sales" totalsRowFunction="sum" dataDxfId="19" totalsRowDxfId="12"/>
    <tableColumn id="7" name="New Clients" dataDxfId="20" totalsRowDxfId="11"/>
    <tableColumn id="8" name="Calls Made" dataDxfId="30" totalsRowDxfId="10"/>
    <tableColumn id="9" name="Achievement%" totalsRowFunction="custom" dataDxfId="27" totalsRowDxfId="9" dataCellStyle="Percent">
      <calculatedColumnFormula>F2/E2</calculatedColumnFormula>
      <totalsRowFormula>Table1[[#Totals],[Actual Sales]]/Table1[[#Totals],[Sales Target]]</totalsRowFormula>
    </tableColumn>
    <tableColumn id="10" name="Performance Status" dataDxfId="6" totalsRowDxfId="8">
      <calculatedColumnFormula>IF(I2&gt;=1,"Excellent",
 IF(I2&gt;=0.9,"Good",
 IF(I2&gt;=0.8,"Average","Needs Improvement")))</calculatedColumnFormula>
    </tableColumn>
    <tableColumn id="11" name="Variance" dataDxfId="26" totalsRowDxfId="7">
      <calculatedColumnFormula>F2-E2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1"/>
  <sheetViews>
    <sheetView workbookViewId="0">
      <selection activeCell="K11" sqref="K11"/>
    </sheetView>
  </sheetViews>
  <sheetFormatPr defaultRowHeight="14.25" x14ac:dyDescent="0.2"/>
  <cols>
    <col min="2" max="2" width="13.25" customWidth="1"/>
    <col min="5" max="5" width="13.75" customWidth="1"/>
    <col min="6" max="6" width="15.875" customWidth="1"/>
    <col min="7" max="7" width="15.75" customWidth="1"/>
    <col min="8" max="8" width="14.625" customWidth="1"/>
  </cols>
  <sheetData>
    <row r="1" spans="1:11" ht="3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1" ht="28.5" x14ac:dyDescent="0.2">
      <c r="A2" s="2">
        <v>46023</v>
      </c>
      <c r="B2" s="3" t="s">
        <v>8</v>
      </c>
      <c r="C2" s="3" t="s">
        <v>9</v>
      </c>
      <c r="D2" s="3" t="s">
        <v>10</v>
      </c>
      <c r="E2" s="3">
        <v>150000</v>
      </c>
      <c r="F2" s="3">
        <v>142000</v>
      </c>
      <c r="G2" s="3">
        <v>5</v>
      </c>
      <c r="H2" s="3">
        <v>40</v>
      </c>
    </row>
    <row r="3" spans="1:11" x14ac:dyDescent="0.2">
      <c r="A3" s="2">
        <v>46023</v>
      </c>
      <c r="B3" s="3" t="s">
        <v>11</v>
      </c>
      <c r="C3" s="3" t="s">
        <v>12</v>
      </c>
      <c r="D3" s="3" t="s">
        <v>13</v>
      </c>
      <c r="E3" s="3">
        <v>120000</v>
      </c>
      <c r="F3" s="3">
        <v>135000</v>
      </c>
      <c r="G3" s="3">
        <v>6</v>
      </c>
      <c r="H3" s="3">
        <v>35</v>
      </c>
      <c r="K3" t="s">
        <v>23</v>
      </c>
    </row>
    <row r="4" spans="1:11" ht="28.5" x14ac:dyDescent="0.2">
      <c r="A4" s="2">
        <v>46024</v>
      </c>
      <c r="B4" s="3" t="s">
        <v>14</v>
      </c>
      <c r="C4" s="3" t="s">
        <v>15</v>
      </c>
      <c r="D4" s="3" t="s">
        <v>16</v>
      </c>
      <c r="E4" s="3">
        <v>100000</v>
      </c>
      <c r="F4" s="3">
        <v>98000</v>
      </c>
      <c r="G4" s="3">
        <v>4</v>
      </c>
      <c r="H4" s="3">
        <v>30</v>
      </c>
      <c r="K4" t="s">
        <v>19</v>
      </c>
    </row>
    <row r="5" spans="1:11" x14ac:dyDescent="0.2">
      <c r="A5" s="2">
        <v>46024</v>
      </c>
      <c r="B5" s="3" t="s">
        <v>17</v>
      </c>
      <c r="C5" s="3" t="s">
        <v>18</v>
      </c>
      <c r="D5" s="3" t="s">
        <v>10</v>
      </c>
      <c r="E5" s="3">
        <v>130000</v>
      </c>
      <c r="F5" s="3">
        <v>150000</v>
      </c>
      <c r="G5" s="3">
        <v>7</v>
      </c>
      <c r="H5" s="3">
        <v>45</v>
      </c>
      <c r="K5" t="s">
        <v>20</v>
      </c>
    </row>
    <row r="6" spans="1:11" ht="28.5" x14ac:dyDescent="0.2">
      <c r="A6" s="2">
        <v>46025</v>
      </c>
      <c r="B6" s="3" t="s">
        <v>8</v>
      </c>
      <c r="C6" s="3" t="s">
        <v>9</v>
      </c>
      <c r="D6" s="3" t="s">
        <v>13</v>
      </c>
      <c r="E6" s="3">
        <v>160000</v>
      </c>
      <c r="F6" s="3">
        <v>170000</v>
      </c>
      <c r="G6" s="3">
        <v>8</v>
      </c>
      <c r="H6" s="3">
        <v>50</v>
      </c>
      <c r="K6" t="s">
        <v>21</v>
      </c>
    </row>
    <row r="7" spans="1:11" ht="28.5" x14ac:dyDescent="0.2">
      <c r="A7" s="2">
        <v>46025</v>
      </c>
      <c r="B7" s="3" t="s">
        <v>11</v>
      </c>
      <c r="C7" s="3" t="s">
        <v>12</v>
      </c>
      <c r="D7" s="3" t="s">
        <v>16</v>
      </c>
      <c r="E7" s="3">
        <v>110000</v>
      </c>
      <c r="F7" s="3">
        <v>105000</v>
      </c>
      <c r="G7" s="3">
        <v>3</v>
      </c>
      <c r="H7" s="3">
        <v>28</v>
      </c>
      <c r="K7" t="s">
        <v>22</v>
      </c>
    </row>
    <row r="8" spans="1:11" ht="28.5" x14ac:dyDescent="0.2">
      <c r="A8" s="2">
        <v>46026</v>
      </c>
      <c r="B8" s="3" t="s">
        <v>14</v>
      </c>
      <c r="C8" s="3" t="s">
        <v>15</v>
      </c>
      <c r="D8" s="3" t="s">
        <v>10</v>
      </c>
      <c r="E8" s="3">
        <v>125000</v>
      </c>
      <c r="F8" s="3">
        <v>130000</v>
      </c>
      <c r="G8" s="3">
        <v>5</v>
      </c>
      <c r="H8" s="3">
        <v>38</v>
      </c>
    </row>
    <row r="9" spans="1:11" ht="28.5" x14ac:dyDescent="0.2">
      <c r="A9" s="2">
        <v>46026</v>
      </c>
      <c r="B9" s="3" t="s">
        <v>17</v>
      </c>
      <c r="C9" s="3" t="s">
        <v>18</v>
      </c>
      <c r="D9" s="3" t="s">
        <v>13</v>
      </c>
      <c r="E9" s="3">
        <v>140000</v>
      </c>
      <c r="F9" s="3">
        <v>138000</v>
      </c>
      <c r="G9" s="3">
        <v>6</v>
      </c>
      <c r="H9" s="3">
        <v>41</v>
      </c>
    </row>
    <row r="10" spans="1:11" ht="28.5" x14ac:dyDescent="0.2">
      <c r="A10" s="2">
        <v>46027</v>
      </c>
      <c r="B10" s="3" t="s">
        <v>8</v>
      </c>
      <c r="C10" s="3" t="s">
        <v>9</v>
      </c>
      <c r="D10" s="3" t="s">
        <v>16</v>
      </c>
      <c r="E10" s="3">
        <v>155000</v>
      </c>
      <c r="F10" s="3">
        <v>160000</v>
      </c>
      <c r="G10" s="3">
        <v>7</v>
      </c>
      <c r="H10" s="3">
        <v>47</v>
      </c>
    </row>
    <row r="11" spans="1:11" x14ac:dyDescent="0.2">
      <c r="A11" s="2">
        <v>46027</v>
      </c>
      <c r="B11" s="3" t="s">
        <v>11</v>
      </c>
      <c r="C11" s="3" t="s">
        <v>12</v>
      </c>
      <c r="D11" s="3" t="s">
        <v>10</v>
      </c>
      <c r="E11" s="3">
        <v>130000</v>
      </c>
      <c r="F11" s="3">
        <v>120000</v>
      </c>
      <c r="G11" s="3">
        <v>4</v>
      </c>
      <c r="H11" s="3">
        <v>32</v>
      </c>
    </row>
    <row r="12" spans="1:11" ht="28.5" x14ac:dyDescent="0.2">
      <c r="A12" s="2">
        <v>46028</v>
      </c>
      <c r="B12" s="3" t="s">
        <v>14</v>
      </c>
      <c r="C12" s="3" t="s">
        <v>15</v>
      </c>
      <c r="D12" s="3" t="s">
        <v>13</v>
      </c>
      <c r="E12" s="3">
        <v>115000</v>
      </c>
      <c r="F12" s="3">
        <v>118000</v>
      </c>
      <c r="G12" s="3">
        <v>5</v>
      </c>
      <c r="H12" s="3">
        <v>36</v>
      </c>
    </row>
    <row r="13" spans="1:11" ht="28.5" x14ac:dyDescent="0.2">
      <c r="A13" s="2">
        <v>46028</v>
      </c>
      <c r="B13" s="3" t="s">
        <v>17</v>
      </c>
      <c r="C13" s="3" t="s">
        <v>18</v>
      </c>
      <c r="D13" s="3" t="s">
        <v>16</v>
      </c>
      <c r="E13" s="3">
        <v>150000</v>
      </c>
      <c r="F13" s="3">
        <v>165000</v>
      </c>
      <c r="G13" s="3">
        <v>9</v>
      </c>
      <c r="H13" s="3">
        <v>52</v>
      </c>
    </row>
    <row r="14" spans="1:11" ht="28.5" x14ac:dyDescent="0.2">
      <c r="A14" s="2">
        <v>46029</v>
      </c>
      <c r="B14" s="3" t="s">
        <v>8</v>
      </c>
      <c r="C14" s="3" t="s">
        <v>9</v>
      </c>
      <c r="D14" s="3" t="s">
        <v>10</v>
      </c>
      <c r="E14" s="3">
        <v>140000</v>
      </c>
      <c r="F14" s="3">
        <v>135000</v>
      </c>
      <c r="G14" s="3">
        <v>6</v>
      </c>
      <c r="H14" s="3">
        <v>42</v>
      </c>
    </row>
    <row r="15" spans="1:11" x14ac:dyDescent="0.2">
      <c r="A15" s="2">
        <v>46029</v>
      </c>
      <c r="B15" s="3" t="s">
        <v>11</v>
      </c>
      <c r="C15" s="3" t="s">
        <v>12</v>
      </c>
      <c r="D15" s="3" t="s">
        <v>13</v>
      </c>
      <c r="E15" s="3">
        <v>125000</v>
      </c>
      <c r="F15" s="3">
        <v>140000</v>
      </c>
      <c r="G15" s="3">
        <v>7</v>
      </c>
      <c r="H15" s="3">
        <v>39</v>
      </c>
    </row>
    <row r="16" spans="1:11" ht="28.5" x14ac:dyDescent="0.2">
      <c r="A16" s="2">
        <v>46030</v>
      </c>
      <c r="B16" s="3" t="s">
        <v>14</v>
      </c>
      <c r="C16" s="3" t="s">
        <v>15</v>
      </c>
      <c r="D16" s="3" t="s">
        <v>16</v>
      </c>
      <c r="E16" s="3">
        <v>105000</v>
      </c>
      <c r="F16" s="3">
        <v>100000</v>
      </c>
      <c r="G16" s="3">
        <v>3</v>
      </c>
      <c r="H16" s="3">
        <v>29</v>
      </c>
    </row>
    <row r="17" spans="1:8" ht="28.5" x14ac:dyDescent="0.2">
      <c r="A17" s="2">
        <v>46030</v>
      </c>
      <c r="B17" s="3" t="s">
        <v>17</v>
      </c>
      <c r="C17" s="3" t="s">
        <v>18</v>
      </c>
      <c r="D17" s="3" t="s">
        <v>10</v>
      </c>
      <c r="E17" s="3">
        <v>145000</v>
      </c>
      <c r="F17" s="3">
        <v>150000</v>
      </c>
      <c r="G17" s="3">
        <v>8</v>
      </c>
      <c r="H17" s="3">
        <v>48</v>
      </c>
    </row>
    <row r="18" spans="1:8" ht="28.5" x14ac:dyDescent="0.2">
      <c r="A18" s="2">
        <v>46031</v>
      </c>
      <c r="B18" s="3" t="s">
        <v>8</v>
      </c>
      <c r="C18" s="3" t="s">
        <v>9</v>
      </c>
      <c r="D18" s="3" t="s">
        <v>13</v>
      </c>
      <c r="E18" s="3">
        <v>150000</v>
      </c>
      <c r="F18" s="3">
        <v>148000</v>
      </c>
      <c r="G18" s="3">
        <v>5</v>
      </c>
      <c r="H18" s="3">
        <v>44</v>
      </c>
    </row>
    <row r="19" spans="1:8" ht="28.5" x14ac:dyDescent="0.2">
      <c r="A19" s="2">
        <v>46031</v>
      </c>
      <c r="B19" s="3" t="s">
        <v>11</v>
      </c>
      <c r="C19" s="3" t="s">
        <v>12</v>
      </c>
      <c r="D19" s="3" t="s">
        <v>16</v>
      </c>
      <c r="E19" s="3">
        <v>115000</v>
      </c>
      <c r="F19" s="3">
        <v>120000</v>
      </c>
      <c r="G19" s="3">
        <v>4</v>
      </c>
      <c r="H19" s="3">
        <v>33</v>
      </c>
    </row>
    <row r="20" spans="1:8" ht="28.5" x14ac:dyDescent="0.2">
      <c r="A20" s="2">
        <v>46032</v>
      </c>
      <c r="B20" s="3" t="s">
        <v>14</v>
      </c>
      <c r="C20" s="3" t="s">
        <v>15</v>
      </c>
      <c r="D20" s="3" t="s">
        <v>10</v>
      </c>
      <c r="E20" s="3">
        <v>135000</v>
      </c>
      <c r="F20" s="3">
        <v>140000</v>
      </c>
      <c r="G20" s="3">
        <v>6</v>
      </c>
      <c r="H20" s="3">
        <v>40</v>
      </c>
    </row>
    <row r="21" spans="1:8" ht="28.5" x14ac:dyDescent="0.2">
      <c r="A21" s="2">
        <v>46032</v>
      </c>
      <c r="B21" s="3" t="s">
        <v>17</v>
      </c>
      <c r="C21" s="3" t="s">
        <v>18</v>
      </c>
      <c r="D21" s="3" t="s">
        <v>13</v>
      </c>
      <c r="E21" s="3">
        <v>155000</v>
      </c>
      <c r="F21" s="3">
        <v>160000</v>
      </c>
      <c r="G21" s="3">
        <v>7</v>
      </c>
      <c r="H21" s="3">
        <v>49</v>
      </c>
    </row>
    <row r="22" spans="1:8" ht="28.5" x14ac:dyDescent="0.2">
      <c r="A22" s="2">
        <v>46033</v>
      </c>
      <c r="B22" s="3" t="s">
        <v>8</v>
      </c>
      <c r="C22" s="3" t="s">
        <v>9</v>
      </c>
      <c r="D22" s="3" t="s">
        <v>16</v>
      </c>
      <c r="E22" s="3">
        <v>160000</v>
      </c>
      <c r="F22" s="3">
        <v>175000</v>
      </c>
      <c r="G22" s="3">
        <v>9</v>
      </c>
      <c r="H22" s="3">
        <v>53</v>
      </c>
    </row>
    <row r="23" spans="1:8" x14ac:dyDescent="0.2">
      <c r="A23" s="2">
        <v>46033</v>
      </c>
      <c r="B23" s="3" t="s">
        <v>11</v>
      </c>
      <c r="C23" s="3" t="s">
        <v>12</v>
      </c>
      <c r="D23" s="3" t="s">
        <v>10</v>
      </c>
      <c r="E23" s="3">
        <v>120000</v>
      </c>
      <c r="F23" s="3">
        <v>110000</v>
      </c>
      <c r="G23" s="3">
        <v>3</v>
      </c>
      <c r="H23" s="3">
        <v>30</v>
      </c>
    </row>
    <row r="24" spans="1:8" ht="28.5" x14ac:dyDescent="0.2">
      <c r="A24" s="2">
        <v>46034</v>
      </c>
      <c r="B24" s="3" t="s">
        <v>14</v>
      </c>
      <c r="C24" s="3" t="s">
        <v>15</v>
      </c>
      <c r="D24" s="3" t="s">
        <v>13</v>
      </c>
      <c r="E24" s="3">
        <v>130000</v>
      </c>
      <c r="F24" s="3">
        <v>128000</v>
      </c>
      <c r="G24" s="3">
        <v>4</v>
      </c>
      <c r="H24" s="3">
        <v>37</v>
      </c>
    </row>
    <row r="25" spans="1:8" ht="28.5" x14ac:dyDescent="0.2">
      <c r="A25" s="2">
        <v>46034</v>
      </c>
      <c r="B25" s="3" t="s">
        <v>17</v>
      </c>
      <c r="C25" s="3" t="s">
        <v>18</v>
      </c>
      <c r="D25" s="3" t="s">
        <v>16</v>
      </c>
      <c r="E25" s="3">
        <v>165000</v>
      </c>
      <c r="F25" s="3">
        <v>170000</v>
      </c>
      <c r="G25" s="3">
        <v>10</v>
      </c>
      <c r="H25" s="3">
        <v>55</v>
      </c>
    </row>
    <row r="26" spans="1:8" ht="28.5" x14ac:dyDescent="0.2">
      <c r="A26" s="2">
        <v>46035</v>
      </c>
      <c r="B26" s="3" t="s">
        <v>8</v>
      </c>
      <c r="C26" s="3" t="s">
        <v>9</v>
      </c>
      <c r="D26" s="3" t="s">
        <v>10</v>
      </c>
      <c r="E26" s="3">
        <v>150000</v>
      </c>
      <c r="F26" s="3">
        <v>155000</v>
      </c>
      <c r="G26" s="3">
        <v>6</v>
      </c>
      <c r="H26" s="3">
        <v>46</v>
      </c>
    </row>
    <row r="27" spans="1:8" x14ac:dyDescent="0.2">
      <c r="A27" s="2">
        <v>46035</v>
      </c>
      <c r="B27" s="3" t="s">
        <v>11</v>
      </c>
      <c r="C27" s="3" t="s">
        <v>12</v>
      </c>
      <c r="D27" s="3" t="s">
        <v>13</v>
      </c>
      <c r="E27" s="3">
        <v>135000</v>
      </c>
      <c r="F27" s="3">
        <v>145000</v>
      </c>
      <c r="G27" s="3">
        <v>8</v>
      </c>
      <c r="H27" s="3">
        <v>42</v>
      </c>
    </row>
    <row r="28" spans="1:8" ht="28.5" x14ac:dyDescent="0.2">
      <c r="A28" s="2">
        <v>46036</v>
      </c>
      <c r="B28" s="3" t="s">
        <v>14</v>
      </c>
      <c r="C28" s="3" t="s">
        <v>15</v>
      </c>
      <c r="D28" s="3" t="s">
        <v>16</v>
      </c>
      <c r="E28" s="3">
        <v>110000</v>
      </c>
      <c r="F28" s="3">
        <v>115000</v>
      </c>
      <c r="G28" s="3">
        <v>5</v>
      </c>
      <c r="H28" s="3">
        <v>34</v>
      </c>
    </row>
    <row r="29" spans="1:8" ht="28.5" x14ac:dyDescent="0.2">
      <c r="A29" s="2">
        <v>46036</v>
      </c>
      <c r="B29" s="3" t="s">
        <v>17</v>
      </c>
      <c r="C29" s="3" t="s">
        <v>18</v>
      </c>
      <c r="D29" s="3" t="s">
        <v>10</v>
      </c>
      <c r="E29" s="3">
        <v>140000</v>
      </c>
      <c r="F29" s="3">
        <v>138000</v>
      </c>
      <c r="G29" s="3">
        <v>6</v>
      </c>
      <c r="H29" s="3">
        <v>43</v>
      </c>
    </row>
    <row r="30" spans="1:8" ht="28.5" x14ac:dyDescent="0.2">
      <c r="A30" s="2">
        <v>46037</v>
      </c>
      <c r="B30" s="3" t="s">
        <v>8</v>
      </c>
      <c r="C30" s="3" t="s">
        <v>9</v>
      </c>
      <c r="D30" s="3" t="s">
        <v>13</v>
      </c>
      <c r="E30" s="3">
        <v>155000</v>
      </c>
      <c r="F30" s="3">
        <v>150000</v>
      </c>
      <c r="G30" s="3">
        <v>7</v>
      </c>
      <c r="H30" s="3">
        <v>45</v>
      </c>
    </row>
    <row r="31" spans="1:8" ht="28.5" x14ac:dyDescent="0.2">
      <c r="A31" s="2">
        <v>46037</v>
      </c>
      <c r="B31" s="3" t="s">
        <v>11</v>
      </c>
      <c r="C31" s="3" t="s">
        <v>12</v>
      </c>
      <c r="D31" s="3" t="s">
        <v>16</v>
      </c>
      <c r="E31" s="3">
        <v>125000</v>
      </c>
      <c r="F31" s="3">
        <v>130000</v>
      </c>
      <c r="G31" s="3">
        <v>5</v>
      </c>
      <c r="H31" s="3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workbookViewId="0">
      <selection activeCell="B5" sqref="B5"/>
    </sheetView>
  </sheetViews>
  <sheetFormatPr defaultRowHeight="14.25" x14ac:dyDescent="0.2"/>
  <cols>
    <col min="1" max="1" width="9" bestFit="1" customWidth="1"/>
    <col min="2" max="2" width="19.125" bestFit="1" customWidth="1"/>
    <col min="3" max="3" width="11.25" bestFit="1" customWidth="1"/>
    <col min="4" max="4" width="11.875" bestFit="1" customWidth="1"/>
    <col min="5" max="5" width="16.125" bestFit="1" customWidth="1"/>
    <col min="6" max="6" width="15.625" bestFit="1" customWidth="1"/>
    <col min="7" max="7" width="15.5" bestFit="1" customWidth="1"/>
    <col min="8" max="8" width="14.625" bestFit="1" customWidth="1"/>
    <col min="9" max="9" width="14.875" style="6" customWidth="1"/>
    <col min="10" max="10" width="22.625" bestFit="1" customWidth="1"/>
    <col min="11" max="11" width="12.5" bestFit="1" customWidth="1"/>
  </cols>
  <sheetData>
    <row r="1" spans="1:11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4" t="s">
        <v>27</v>
      </c>
      <c r="J1" s="1" t="s">
        <v>28</v>
      </c>
      <c r="K1" s="1" t="s">
        <v>30</v>
      </c>
    </row>
    <row r="2" spans="1:11" x14ac:dyDescent="0.2">
      <c r="A2" s="2">
        <v>46023</v>
      </c>
      <c r="B2" s="3" t="s">
        <v>8</v>
      </c>
      <c r="C2" s="3" t="s">
        <v>9</v>
      </c>
      <c r="D2" s="3" t="s">
        <v>24</v>
      </c>
      <c r="E2" s="11">
        <v>150000</v>
      </c>
      <c r="F2" s="11">
        <v>142000</v>
      </c>
      <c r="G2" s="3">
        <v>5</v>
      </c>
      <c r="H2" s="3">
        <v>40</v>
      </c>
      <c r="I2" s="5">
        <f t="shared" ref="I2:I31" si="0">F2/E2</f>
        <v>0.94666666666666666</v>
      </c>
      <c r="J2" s="3" t="str">
        <f t="shared" ref="J2:J31" si="1">IF(I2&gt;=1,"Excellent",
 IF(I2&gt;=0.9,"Good",
 IF(I2&gt;=0.8,"Average","Needs Improvement")))</f>
        <v>Good</v>
      </c>
      <c r="K2" s="3">
        <f t="shared" ref="K2:K31" si="2">F2-E2</f>
        <v>-8000</v>
      </c>
    </row>
    <row r="3" spans="1:11" x14ac:dyDescent="0.2">
      <c r="A3" s="2">
        <v>46023</v>
      </c>
      <c r="B3" s="3" t="s">
        <v>11</v>
      </c>
      <c r="C3" s="3" t="s">
        <v>12</v>
      </c>
      <c r="D3" s="3" t="s">
        <v>26</v>
      </c>
      <c r="E3" s="11">
        <v>120000</v>
      </c>
      <c r="F3" s="11">
        <v>135000</v>
      </c>
      <c r="G3" s="3">
        <v>6</v>
      </c>
      <c r="H3" s="3">
        <v>35</v>
      </c>
      <c r="I3" s="5">
        <f t="shared" si="0"/>
        <v>1.125</v>
      </c>
      <c r="J3" s="3" t="str">
        <f t="shared" si="1"/>
        <v>Excellent</v>
      </c>
      <c r="K3" s="3">
        <f t="shared" si="2"/>
        <v>15000</v>
      </c>
    </row>
    <row r="4" spans="1:11" x14ac:dyDescent="0.2">
      <c r="A4" s="2">
        <v>46024</v>
      </c>
      <c r="B4" s="3" t="s">
        <v>14</v>
      </c>
      <c r="C4" s="3" t="s">
        <v>15</v>
      </c>
      <c r="D4" s="3" t="s">
        <v>25</v>
      </c>
      <c r="E4" s="11">
        <v>100000</v>
      </c>
      <c r="F4" s="11">
        <v>98000</v>
      </c>
      <c r="G4" s="3">
        <v>4</v>
      </c>
      <c r="H4" s="3">
        <v>30</v>
      </c>
      <c r="I4" s="5">
        <f t="shared" si="0"/>
        <v>0.98</v>
      </c>
      <c r="J4" s="3" t="str">
        <f t="shared" si="1"/>
        <v>Good</v>
      </c>
      <c r="K4" s="3">
        <f t="shared" si="2"/>
        <v>-2000</v>
      </c>
    </row>
    <row r="5" spans="1:11" x14ac:dyDescent="0.2">
      <c r="A5" s="2">
        <v>46024</v>
      </c>
      <c r="B5" s="3" t="s">
        <v>17</v>
      </c>
      <c r="C5" s="3" t="s">
        <v>18</v>
      </c>
      <c r="D5" s="3" t="s">
        <v>24</v>
      </c>
      <c r="E5" s="11">
        <v>130000</v>
      </c>
      <c r="F5" s="11">
        <v>150000</v>
      </c>
      <c r="G5" s="3">
        <v>7</v>
      </c>
      <c r="H5" s="3">
        <v>45</v>
      </c>
      <c r="I5" s="5">
        <f t="shared" si="0"/>
        <v>1.1538461538461537</v>
      </c>
      <c r="J5" s="3" t="str">
        <f t="shared" si="1"/>
        <v>Excellent</v>
      </c>
      <c r="K5" s="3">
        <f t="shared" si="2"/>
        <v>20000</v>
      </c>
    </row>
    <row r="6" spans="1:11" x14ac:dyDescent="0.2">
      <c r="A6" s="2">
        <v>46025</v>
      </c>
      <c r="B6" s="3" t="s">
        <v>8</v>
      </c>
      <c r="C6" s="3" t="s">
        <v>9</v>
      </c>
      <c r="D6" s="3" t="s">
        <v>26</v>
      </c>
      <c r="E6" s="11">
        <v>160000</v>
      </c>
      <c r="F6" s="11">
        <v>170000</v>
      </c>
      <c r="G6" s="3">
        <v>8</v>
      </c>
      <c r="H6" s="3">
        <v>50</v>
      </c>
      <c r="I6" s="5">
        <f t="shared" si="0"/>
        <v>1.0625</v>
      </c>
      <c r="J6" s="3" t="str">
        <f t="shared" si="1"/>
        <v>Excellent</v>
      </c>
      <c r="K6" s="3">
        <f t="shared" si="2"/>
        <v>10000</v>
      </c>
    </row>
    <row r="7" spans="1:11" x14ac:dyDescent="0.2">
      <c r="A7" s="2">
        <v>46025</v>
      </c>
      <c r="B7" s="3" t="s">
        <v>11</v>
      </c>
      <c r="C7" s="3" t="s">
        <v>12</v>
      </c>
      <c r="D7" s="3" t="s">
        <v>25</v>
      </c>
      <c r="E7" s="11">
        <v>110000</v>
      </c>
      <c r="F7" s="11">
        <v>105000</v>
      </c>
      <c r="G7" s="3">
        <v>3</v>
      </c>
      <c r="H7" s="3">
        <v>28</v>
      </c>
      <c r="I7" s="5">
        <f t="shared" si="0"/>
        <v>0.95454545454545459</v>
      </c>
      <c r="J7" s="3" t="str">
        <f t="shared" si="1"/>
        <v>Good</v>
      </c>
      <c r="K7" s="3">
        <f t="shared" si="2"/>
        <v>-5000</v>
      </c>
    </row>
    <row r="8" spans="1:11" x14ac:dyDescent="0.2">
      <c r="A8" s="2">
        <v>46026</v>
      </c>
      <c r="B8" s="3" t="s">
        <v>14</v>
      </c>
      <c r="C8" s="3" t="s">
        <v>15</v>
      </c>
      <c r="D8" s="3" t="s">
        <v>24</v>
      </c>
      <c r="E8" s="11">
        <v>125000</v>
      </c>
      <c r="F8" s="11">
        <v>130000</v>
      </c>
      <c r="G8" s="3">
        <v>5</v>
      </c>
      <c r="H8" s="3">
        <v>38</v>
      </c>
      <c r="I8" s="5">
        <f t="shared" si="0"/>
        <v>1.04</v>
      </c>
      <c r="J8" s="3" t="str">
        <f t="shared" si="1"/>
        <v>Excellent</v>
      </c>
      <c r="K8" s="3">
        <f t="shared" si="2"/>
        <v>5000</v>
      </c>
    </row>
    <row r="9" spans="1:11" x14ac:dyDescent="0.2">
      <c r="A9" s="2">
        <v>46026</v>
      </c>
      <c r="B9" s="3" t="s">
        <v>17</v>
      </c>
      <c r="C9" s="3" t="s">
        <v>18</v>
      </c>
      <c r="D9" s="3" t="s">
        <v>26</v>
      </c>
      <c r="E9" s="11">
        <v>140000</v>
      </c>
      <c r="F9" s="11">
        <v>138000</v>
      </c>
      <c r="G9" s="3">
        <v>6</v>
      </c>
      <c r="H9" s="3">
        <v>41</v>
      </c>
      <c r="I9" s="5">
        <f t="shared" si="0"/>
        <v>0.98571428571428577</v>
      </c>
      <c r="J9" s="3" t="str">
        <f t="shared" si="1"/>
        <v>Good</v>
      </c>
      <c r="K9" s="3">
        <f t="shared" si="2"/>
        <v>-2000</v>
      </c>
    </row>
    <row r="10" spans="1:11" x14ac:dyDescent="0.2">
      <c r="A10" s="2">
        <v>46027</v>
      </c>
      <c r="B10" s="3" t="s">
        <v>8</v>
      </c>
      <c r="C10" s="3" t="s">
        <v>9</v>
      </c>
      <c r="D10" s="3" t="s">
        <v>25</v>
      </c>
      <c r="E10" s="11">
        <v>155000</v>
      </c>
      <c r="F10" s="11">
        <v>160000</v>
      </c>
      <c r="G10" s="3">
        <v>7</v>
      </c>
      <c r="H10" s="3">
        <v>47</v>
      </c>
      <c r="I10" s="5">
        <f t="shared" si="0"/>
        <v>1.032258064516129</v>
      </c>
      <c r="J10" s="3" t="str">
        <f t="shared" si="1"/>
        <v>Excellent</v>
      </c>
      <c r="K10" s="3">
        <f t="shared" si="2"/>
        <v>5000</v>
      </c>
    </row>
    <row r="11" spans="1:11" x14ac:dyDescent="0.2">
      <c r="A11" s="2">
        <v>46027</v>
      </c>
      <c r="B11" s="3" t="s">
        <v>11</v>
      </c>
      <c r="C11" s="3" t="s">
        <v>12</v>
      </c>
      <c r="D11" s="3" t="s">
        <v>24</v>
      </c>
      <c r="E11" s="11">
        <v>130000</v>
      </c>
      <c r="F11" s="11">
        <v>120000</v>
      </c>
      <c r="G11" s="3">
        <v>4</v>
      </c>
      <c r="H11" s="3">
        <v>32</v>
      </c>
      <c r="I11" s="5">
        <f t="shared" si="0"/>
        <v>0.92307692307692313</v>
      </c>
      <c r="J11" s="3" t="str">
        <f t="shared" si="1"/>
        <v>Good</v>
      </c>
      <c r="K11" s="3">
        <f t="shared" si="2"/>
        <v>-10000</v>
      </c>
    </row>
    <row r="12" spans="1:11" x14ac:dyDescent="0.2">
      <c r="A12" s="2">
        <v>46028</v>
      </c>
      <c r="B12" s="3" t="s">
        <v>14</v>
      </c>
      <c r="C12" s="3" t="s">
        <v>15</v>
      </c>
      <c r="D12" s="3" t="s">
        <v>26</v>
      </c>
      <c r="E12" s="11">
        <v>115000</v>
      </c>
      <c r="F12" s="11">
        <v>118000</v>
      </c>
      <c r="G12" s="3">
        <v>5</v>
      </c>
      <c r="H12" s="3">
        <v>36</v>
      </c>
      <c r="I12" s="5">
        <f t="shared" si="0"/>
        <v>1.0260869565217392</v>
      </c>
      <c r="J12" s="3" t="str">
        <f t="shared" si="1"/>
        <v>Excellent</v>
      </c>
      <c r="K12" s="3">
        <f t="shared" si="2"/>
        <v>3000</v>
      </c>
    </row>
    <row r="13" spans="1:11" x14ac:dyDescent="0.2">
      <c r="A13" s="2">
        <v>46028</v>
      </c>
      <c r="B13" s="3" t="s">
        <v>17</v>
      </c>
      <c r="C13" s="3" t="s">
        <v>18</v>
      </c>
      <c r="D13" s="3" t="s">
        <v>25</v>
      </c>
      <c r="E13" s="11">
        <v>150000</v>
      </c>
      <c r="F13" s="11">
        <v>165000</v>
      </c>
      <c r="G13" s="3">
        <v>9</v>
      </c>
      <c r="H13" s="3">
        <v>52</v>
      </c>
      <c r="I13" s="5">
        <f t="shared" si="0"/>
        <v>1.1000000000000001</v>
      </c>
      <c r="J13" s="3" t="str">
        <f t="shared" si="1"/>
        <v>Excellent</v>
      </c>
      <c r="K13" s="3">
        <f t="shared" si="2"/>
        <v>15000</v>
      </c>
    </row>
    <row r="14" spans="1:11" x14ac:dyDescent="0.2">
      <c r="A14" s="2">
        <v>46029</v>
      </c>
      <c r="B14" s="3" t="s">
        <v>8</v>
      </c>
      <c r="C14" s="3" t="s">
        <v>9</v>
      </c>
      <c r="D14" s="3" t="s">
        <v>24</v>
      </c>
      <c r="E14" s="11">
        <v>140000</v>
      </c>
      <c r="F14" s="11">
        <v>135000</v>
      </c>
      <c r="G14" s="3">
        <v>6</v>
      </c>
      <c r="H14" s="3">
        <v>42</v>
      </c>
      <c r="I14" s="5">
        <f t="shared" si="0"/>
        <v>0.9642857142857143</v>
      </c>
      <c r="J14" s="3" t="str">
        <f t="shared" si="1"/>
        <v>Good</v>
      </c>
      <c r="K14" s="3">
        <f t="shared" si="2"/>
        <v>-5000</v>
      </c>
    </row>
    <row r="15" spans="1:11" x14ac:dyDescent="0.2">
      <c r="A15" s="2">
        <v>46029</v>
      </c>
      <c r="B15" s="3" t="s">
        <v>11</v>
      </c>
      <c r="C15" s="3" t="s">
        <v>12</v>
      </c>
      <c r="D15" s="3" t="s">
        <v>26</v>
      </c>
      <c r="E15" s="11">
        <v>125000</v>
      </c>
      <c r="F15" s="11">
        <v>140000</v>
      </c>
      <c r="G15" s="3">
        <v>7</v>
      </c>
      <c r="H15" s="3">
        <v>39</v>
      </c>
      <c r="I15" s="5">
        <f t="shared" si="0"/>
        <v>1.1200000000000001</v>
      </c>
      <c r="J15" s="3" t="str">
        <f t="shared" si="1"/>
        <v>Excellent</v>
      </c>
      <c r="K15" s="3">
        <f t="shared" si="2"/>
        <v>15000</v>
      </c>
    </row>
    <row r="16" spans="1:11" x14ac:dyDescent="0.2">
      <c r="A16" s="2">
        <v>46030</v>
      </c>
      <c r="B16" s="3" t="s">
        <v>14</v>
      </c>
      <c r="C16" s="3" t="s">
        <v>15</v>
      </c>
      <c r="D16" s="3" t="s">
        <v>25</v>
      </c>
      <c r="E16" s="11">
        <v>105000</v>
      </c>
      <c r="F16" s="11">
        <v>100000</v>
      </c>
      <c r="G16" s="3">
        <v>3</v>
      </c>
      <c r="H16" s="3">
        <v>29</v>
      </c>
      <c r="I16" s="5">
        <f t="shared" si="0"/>
        <v>0.95238095238095233</v>
      </c>
      <c r="J16" s="3" t="str">
        <f t="shared" si="1"/>
        <v>Good</v>
      </c>
      <c r="K16" s="3">
        <f t="shared" si="2"/>
        <v>-5000</v>
      </c>
    </row>
    <row r="17" spans="1:11" x14ac:dyDescent="0.2">
      <c r="A17" s="2">
        <v>46030</v>
      </c>
      <c r="B17" s="3" t="s">
        <v>17</v>
      </c>
      <c r="C17" s="3" t="s">
        <v>18</v>
      </c>
      <c r="D17" s="3" t="s">
        <v>24</v>
      </c>
      <c r="E17" s="11">
        <v>145000</v>
      </c>
      <c r="F17" s="11">
        <v>150000</v>
      </c>
      <c r="G17" s="3">
        <v>8</v>
      </c>
      <c r="H17" s="3">
        <v>48</v>
      </c>
      <c r="I17" s="5">
        <f t="shared" si="0"/>
        <v>1.0344827586206897</v>
      </c>
      <c r="J17" s="3" t="str">
        <f t="shared" si="1"/>
        <v>Excellent</v>
      </c>
      <c r="K17" s="3">
        <f t="shared" si="2"/>
        <v>5000</v>
      </c>
    </row>
    <row r="18" spans="1:11" x14ac:dyDescent="0.2">
      <c r="A18" s="2">
        <v>46031</v>
      </c>
      <c r="B18" s="3" t="s">
        <v>8</v>
      </c>
      <c r="C18" s="3" t="s">
        <v>9</v>
      </c>
      <c r="D18" s="3" t="s">
        <v>26</v>
      </c>
      <c r="E18" s="11">
        <v>150000</v>
      </c>
      <c r="F18" s="11">
        <v>148000</v>
      </c>
      <c r="G18" s="3">
        <v>5</v>
      </c>
      <c r="H18" s="3">
        <v>44</v>
      </c>
      <c r="I18" s="5">
        <f t="shared" si="0"/>
        <v>0.98666666666666669</v>
      </c>
      <c r="J18" s="3" t="str">
        <f t="shared" si="1"/>
        <v>Good</v>
      </c>
      <c r="K18" s="3">
        <f t="shared" si="2"/>
        <v>-2000</v>
      </c>
    </row>
    <row r="19" spans="1:11" x14ac:dyDescent="0.2">
      <c r="A19" s="2">
        <v>46031</v>
      </c>
      <c r="B19" s="3" t="s">
        <v>11</v>
      </c>
      <c r="C19" s="3" t="s">
        <v>12</v>
      </c>
      <c r="D19" s="3" t="s">
        <v>25</v>
      </c>
      <c r="E19" s="11">
        <v>115000</v>
      </c>
      <c r="F19" s="11">
        <v>120000</v>
      </c>
      <c r="G19" s="3">
        <v>4</v>
      </c>
      <c r="H19" s="3">
        <v>33</v>
      </c>
      <c r="I19" s="5">
        <f t="shared" si="0"/>
        <v>1.0434782608695652</v>
      </c>
      <c r="J19" s="3" t="str">
        <f t="shared" si="1"/>
        <v>Excellent</v>
      </c>
      <c r="K19" s="3">
        <f t="shared" si="2"/>
        <v>5000</v>
      </c>
    </row>
    <row r="20" spans="1:11" x14ac:dyDescent="0.2">
      <c r="A20" s="2">
        <v>46032</v>
      </c>
      <c r="B20" s="3" t="s">
        <v>14</v>
      </c>
      <c r="C20" s="3" t="s">
        <v>15</v>
      </c>
      <c r="D20" s="3" t="s">
        <v>24</v>
      </c>
      <c r="E20" s="11">
        <v>135000</v>
      </c>
      <c r="F20" s="11">
        <v>140000</v>
      </c>
      <c r="G20" s="3">
        <v>6</v>
      </c>
      <c r="H20" s="3">
        <v>40</v>
      </c>
      <c r="I20" s="5">
        <f t="shared" si="0"/>
        <v>1.037037037037037</v>
      </c>
      <c r="J20" s="3" t="str">
        <f t="shared" si="1"/>
        <v>Excellent</v>
      </c>
      <c r="K20" s="3">
        <f t="shared" si="2"/>
        <v>5000</v>
      </c>
    </row>
    <row r="21" spans="1:11" x14ac:dyDescent="0.2">
      <c r="A21" s="2">
        <v>46032</v>
      </c>
      <c r="B21" s="3" t="s">
        <v>17</v>
      </c>
      <c r="C21" s="3" t="s">
        <v>18</v>
      </c>
      <c r="D21" s="3" t="s">
        <v>26</v>
      </c>
      <c r="E21" s="11">
        <v>155000</v>
      </c>
      <c r="F21" s="11">
        <v>160000</v>
      </c>
      <c r="G21" s="3">
        <v>7</v>
      </c>
      <c r="H21" s="3">
        <v>49</v>
      </c>
      <c r="I21" s="5">
        <f t="shared" si="0"/>
        <v>1.032258064516129</v>
      </c>
      <c r="J21" s="3" t="str">
        <f t="shared" si="1"/>
        <v>Excellent</v>
      </c>
      <c r="K21" s="3">
        <f t="shared" si="2"/>
        <v>5000</v>
      </c>
    </row>
    <row r="22" spans="1:11" x14ac:dyDescent="0.2">
      <c r="A22" s="2">
        <v>46033</v>
      </c>
      <c r="B22" s="3" t="s">
        <v>8</v>
      </c>
      <c r="C22" s="3" t="s">
        <v>9</v>
      </c>
      <c r="D22" s="3" t="s">
        <v>25</v>
      </c>
      <c r="E22" s="11">
        <v>160000</v>
      </c>
      <c r="F22" s="11">
        <v>175000</v>
      </c>
      <c r="G22" s="3">
        <v>9</v>
      </c>
      <c r="H22" s="3">
        <v>53</v>
      </c>
      <c r="I22" s="5">
        <f t="shared" si="0"/>
        <v>1.09375</v>
      </c>
      <c r="J22" s="3" t="str">
        <f t="shared" si="1"/>
        <v>Excellent</v>
      </c>
      <c r="K22" s="3">
        <f t="shared" si="2"/>
        <v>15000</v>
      </c>
    </row>
    <row r="23" spans="1:11" x14ac:dyDescent="0.2">
      <c r="A23" s="2">
        <v>46033</v>
      </c>
      <c r="B23" s="3" t="s">
        <v>11</v>
      </c>
      <c r="C23" s="3" t="s">
        <v>12</v>
      </c>
      <c r="D23" s="3" t="s">
        <v>24</v>
      </c>
      <c r="E23" s="11">
        <v>120000</v>
      </c>
      <c r="F23" s="11">
        <v>110000</v>
      </c>
      <c r="G23" s="3">
        <v>3</v>
      </c>
      <c r="H23" s="3">
        <v>30</v>
      </c>
      <c r="I23" s="5">
        <f t="shared" si="0"/>
        <v>0.91666666666666663</v>
      </c>
      <c r="J23" s="3" t="str">
        <f t="shared" si="1"/>
        <v>Good</v>
      </c>
      <c r="K23" s="3">
        <f t="shared" si="2"/>
        <v>-10000</v>
      </c>
    </row>
    <row r="24" spans="1:11" x14ac:dyDescent="0.2">
      <c r="A24" s="2">
        <v>46034</v>
      </c>
      <c r="B24" s="3" t="s">
        <v>14</v>
      </c>
      <c r="C24" s="3" t="s">
        <v>15</v>
      </c>
      <c r="D24" s="3" t="s">
        <v>26</v>
      </c>
      <c r="E24" s="11">
        <v>130000</v>
      </c>
      <c r="F24" s="11">
        <v>128000</v>
      </c>
      <c r="G24" s="3">
        <v>4</v>
      </c>
      <c r="H24" s="3">
        <v>37</v>
      </c>
      <c r="I24" s="5">
        <f t="shared" si="0"/>
        <v>0.98461538461538467</v>
      </c>
      <c r="J24" s="3" t="str">
        <f t="shared" si="1"/>
        <v>Good</v>
      </c>
      <c r="K24" s="3">
        <f t="shared" si="2"/>
        <v>-2000</v>
      </c>
    </row>
    <row r="25" spans="1:11" x14ac:dyDescent="0.2">
      <c r="A25" s="2">
        <v>46034</v>
      </c>
      <c r="B25" s="3" t="s">
        <v>17</v>
      </c>
      <c r="C25" s="3" t="s">
        <v>18</v>
      </c>
      <c r="D25" s="3" t="s">
        <v>25</v>
      </c>
      <c r="E25" s="11">
        <v>165000</v>
      </c>
      <c r="F25" s="11">
        <v>170000</v>
      </c>
      <c r="G25" s="3">
        <v>10</v>
      </c>
      <c r="H25" s="3">
        <v>55</v>
      </c>
      <c r="I25" s="5">
        <f t="shared" si="0"/>
        <v>1.0303030303030303</v>
      </c>
      <c r="J25" s="3" t="str">
        <f t="shared" si="1"/>
        <v>Excellent</v>
      </c>
      <c r="K25" s="3">
        <f t="shared" si="2"/>
        <v>5000</v>
      </c>
    </row>
    <row r="26" spans="1:11" x14ac:dyDescent="0.2">
      <c r="A26" s="2">
        <v>46035</v>
      </c>
      <c r="B26" s="3" t="s">
        <v>8</v>
      </c>
      <c r="C26" s="3" t="s">
        <v>9</v>
      </c>
      <c r="D26" s="3" t="s">
        <v>24</v>
      </c>
      <c r="E26" s="11">
        <v>150000</v>
      </c>
      <c r="F26" s="11">
        <v>155000</v>
      </c>
      <c r="G26" s="3">
        <v>6</v>
      </c>
      <c r="H26" s="3">
        <v>46</v>
      </c>
      <c r="I26" s="5">
        <f t="shared" si="0"/>
        <v>1.0333333333333334</v>
      </c>
      <c r="J26" s="3" t="str">
        <f t="shared" si="1"/>
        <v>Excellent</v>
      </c>
      <c r="K26" s="3">
        <f t="shared" si="2"/>
        <v>5000</v>
      </c>
    </row>
    <row r="27" spans="1:11" x14ac:dyDescent="0.2">
      <c r="A27" s="2">
        <v>46035</v>
      </c>
      <c r="B27" s="3" t="s">
        <v>11</v>
      </c>
      <c r="C27" s="3" t="s">
        <v>12</v>
      </c>
      <c r="D27" s="3" t="s">
        <v>26</v>
      </c>
      <c r="E27" s="11">
        <v>135000</v>
      </c>
      <c r="F27" s="11">
        <v>145000</v>
      </c>
      <c r="G27" s="3">
        <v>8</v>
      </c>
      <c r="H27" s="3">
        <v>42</v>
      </c>
      <c r="I27" s="5">
        <f t="shared" si="0"/>
        <v>1.0740740740740742</v>
      </c>
      <c r="J27" s="3" t="str">
        <f t="shared" si="1"/>
        <v>Excellent</v>
      </c>
      <c r="K27" s="3">
        <f t="shared" si="2"/>
        <v>10000</v>
      </c>
    </row>
    <row r="28" spans="1:11" x14ac:dyDescent="0.2">
      <c r="A28" s="2">
        <v>46036</v>
      </c>
      <c r="B28" s="3" t="s">
        <v>14</v>
      </c>
      <c r="C28" s="3" t="s">
        <v>15</v>
      </c>
      <c r="D28" s="3" t="s">
        <v>25</v>
      </c>
      <c r="E28" s="11">
        <v>110000</v>
      </c>
      <c r="F28" s="11">
        <v>115000</v>
      </c>
      <c r="G28" s="3">
        <v>5</v>
      </c>
      <c r="H28" s="3">
        <v>34</v>
      </c>
      <c r="I28" s="5">
        <f t="shared" si="0"/>
        <v>1.0454545454545454</v>
      </c>
      <c r="J28" s="3" t="str">
        <f t="shared" si="1"/>
        <v>Excellent</v>
      </c>
      <c r="K28" s="3">
        <f t="shared" si="2"/>
        <v>5000</v>
      </c>
    </row>
    <row r="29" spans="1:11" x14ac:dyDescent="0.2">
      <c r="A29" s="2">
        <v>46036</v>
      </c>
      <c r="B29" s="3" t="s">
        <v>17</v>
      </c>
      <c r="C29" s="3" t="s">
        <v>18</v>
      </c>
      <c r="D29" s="3" t="s">
        <v>24</v>
      </c>
      <c r="E29" s="11">
        <v>140000</v>
      </c>
      <c r="F29" s="11">
        <v>138000</v>
      </c>
      <c r="G29" s="3">
        <v>6</v>
      </c>
      <c r="H29" s="3">
        <v>43</v>
      </c>
      <c r="I29" s="5">
        <f t="shared" si="0"/>
        <v>0.98571428571428577</v>
      </c>
      <c r="J29" s="3" t="str">
        <f t="shared" si="1"/>
        <v>Good</v>
      </c>
      <c r="K29" s="3">
        <f t="shared" si="2"/>
        <v>-2000</v>
      </c>
    </row>
    <row r="30" spans="1:11" x14ac:dyDescent="0.2">
      <c r="A30" s="2">
        <v>46037</v>
      </c>
      <c r="B30" s="3" t="s">
        <v>8</v>
      </c>
      <c r="C30" s="3" t="s">
        <v>9</v>
      </c>
      <c r="D30" s="3" t="s">
        <v>26</v>
      </c>
      <c r="E30" s="11">
        <v>155000</v>
      </c>
      <c r="F30" s="11">
        <v>150000</v>
      </c>
      <c r="G30" s="3">
        <v>7</v>
      </c>
      <c r="H30" s="3">
        <v>45</v>
      </c>
      <c r="I30" s="5">
        <f t="shared" si="0"/>
        <v>0.967741935483871</v>
      </c>
      <c r="J30" s="3" t="str">
        <f t="shared" si="1"/>
        <v>Good</v>
      </c>
      <c r="K30" s="3">
        <f t="shared" si="2"/>
        <v>-5000</v>
      </c>
    </row>
    <row r="31" spans="1:11" x14ac:dyDescent="0.2">
      <c r="A31" s="2">
        <v>46037</v>
      </c>
      <c r="B31" s="3" t="s">
        <v>11</v>
      </c>
      <c r="C31" s="3" t="s">
        <v>12</v>
      </c>
      <c r="D31" s="3" t="s">
        <v>25</v>
      </c>
      <c r="E31" s="11">
        <v>125000</v>
      </c>
      <c r="F31" s="11">
        <v>130000</v>
      </c>
      <c r="G31" s="3">
        <v>5</v>
      </c>
      <c r="H31" s="3">
        <v>36</v>
      </c>
      <c r="I31" s="5">
        <f t="shared" si="0"/>
        <v>1.04</v>
      </c>
      <c r="J31" s="3" t="str">
        <f t="shared" si="1"/>
        <v>Excellent</v>
      </c>
      <c r="K31" s="3">
        <f t="shared" si="2"/>
        <v>5000</v>
      </c>
    </row>
    <row r="32" spans="1:11" ht="15" x14ac:dyDescent="0.2">
      <c r="A32" s="2"/>
      <c r="B32" s="3"/>
      <c r="C32" s="3"/>
      <c r="D32" s="3"/>
      <c r="E32" s="11">
        <f>SUM(Table1[Sales Target])</f>
        <v>4045000</v>
      </c>
      <c r="F32" s="11">
        <f>SUBTOTAL(109,Table1[Actual Sales])</f>
        <v>4140000</v>
      </c>
      <c r="G32" s="3"/>
      <c r="H32" s="3"/>
      <c r="I32" s="5">
        <f>Table1[[#Totals],[Actual Sales]]/Table1[[#Totals],[Sales Target]]</f>
        <v>1.0234857849196539</v>
      </c>
      <c r="J32" s="13"/>
      <c r="K32" s="13"/>
    </row>
  </sheetData>
  <conditionalFormatting sqref="I2:I31">
    <cfRule type="cellIs" dxfId="2" priority="1" operator="between">
      <formula>0.9</formula>
      <formula>0.99</formula>
    </cfRule>
    <cfRule type="cellIs" dxfId="1" priority="2" operator="lessThan">
      <formula>0.9</formula>
    </cfRule>
    <cfRule type="cellIs" dxfId="0" priority="3" operator="greaterThan">
      <formula>1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tabSelected="1" topLeftCell="A2" workbookViewId="0">
      <selection activeCell="D5" sqref="D5"/>
    </sheetView>
  </sheetViews>
  <sheetFormatPr defaultRowHeight="14.25" x14ac:dyDescent="0.2"/>
  <cols>
    <col min="1" max="1" width="19.375" customWidth="1"/>
    <col min="2" max="2" width="17" customWidth="1"/>
    <col min="3" max="3" width="16.75" bestFit="1" customWidth="1"/>
    <col min="4" max="4" width="16.625" bestFit="1" customWidth="1"/>
    <col min="5" max="5" width="15.75" bestFit="1" customWidth="1"/>
    <col min="6" max="6" width="15.625" bestFit="1" customWidth="1"/>
  </cols>
  <sheetData>
    <row r="1" spans="1:6" ht="20.25" x14ac:dyDescent="0.3">
      <c r="A1" s="21" t="s">
        <v>45</v>
      </c>
      <c r="B1" s="21"/>
    </row>
    <row r="4" spans="1:6" ht="15.75" x14ac:dyDescent="0.25">
      <c r="A4" s="14" t="s">
        <v>44</v>
      </c>
    </row>
    <row r="5" spans="1:6" ht="15.75" x14ac:dyDescent="0.25">
      <c r="A5" s="16" t="s">
        <v>38</v>
      </c>
      <c r="B5" s="16" t="s">
        <v>39</v>
      </c>
    </row>
    <row r="6" spans="1:6" x14ac:dyDescent="0.2">
      <c r="A6" s="17" t="s">
        <v>40</v>
      </c>
      <c r="B6" s="19">
        <v>4045000</v>
      </c>
    </row>
    <row r="7" spans="1:6" x14ac:dyDescent="0.2">
      <c r="A7" s="17" t="s">
        <v>34</v>
      </c>
      <c r="B7" s="19">
        <v>4140000</v>
      </c>
    </row>
    <row r="8" spans="1:6" x14ac:dyDescent="0.2">
      <c r="A8" s="17" t="s">
        <v>41</v>
      </c>
      <c r="B8" s="18">
        <v>1.02</v>
      </c>
    </row>
    <row r="9" spans="1:6" x14ac:dyDescent="0.2">
      <c r="A9" s="17" t="s">
        <v>42</v>
      </c>
      <c r="B9" s="17" t="s">
        <v>17</v>
      </c>
    </row>
    <row r="10" spans="1:6" x14ac:dyDescent="0.2">
      <c r="A10" s="17" t="s">
        <v>43</v>
      </c>
      <c r="B10" s="20">
        <f>4140000/1219</f>
        <v>3396.2264150943397</v>
      </c>
    </row>
    <row r="14" spans="1:6" ht="15.75" x14ac:dyDescent="0.25">
      <c r="A14" s="15" t="s">
        <v>31</v>
      </c>
      <c r="B14" s="15"/>
      <c r="C14" s="15"/>
    </row>
    <row r="15" spans="1:6" x14ac:dyDescent="0.2">
      <c r="A15" s="7" t="s">
        <v>32</v>
      </c>
      <c r="B15" t="s">
        <v>33</v>
      </c>
      <c r="C15" t="s">
        <v>34</v>
      </c>
      <c r="D15" t="s">
        <v>36</v>
      </c>
      <c r="E15" t="s">
        <v>37</v>
      </c>
      <c r="F15" t="s">
        <v>35</v>
      </c>
    </row>
    <row r="16" spans="1:6" x14ac:dyDescent="0.2">
      <c r="A16" s="8" t="s">
        <v>8</v>
      </c>
      <c r="B16" s="10">
        <v>1220000</v>
      </c>
      <c r="C16" s="10">
        <v>1235000</v>
      </c>
      <c r="D16" s="9">
        <v>53</v>
      </c>
      <c r="E16" s="9">
        <v>367</v>
      </c>
      <c r="F16" s="12">
        <v>1.0122950819672132</v>
      </c>
    </row>
    <row r="17" spans="1:6" x14ac:dyDescent="0.2">
      <c r="A17" s="8" t="s">
        <v>17</v>
      </c>
      <c r="B17" s="10">
        <v>1025000</v>
      </c>
      <c r="C17" s="10">
        <v>1071000</v>
      </c>
      <c r="D17" s="9">
        <v>53</v>
      </c>
      <c r="E17" s="9">
        <v>333</v>
      </c>
      <c r="F17" s="12">
        <v>1.0448780487804878</v>
      </c>
    </row>
    <row r="18" spans="1:6" x14ac:dyDescent="0.2">
      <c r="A18" s="8" t="s">
        <v>14</v>
      </c>
      <c r="B18" s="10">
        <v>820000</v>
      </c>
      <c r="C18" s="10">
        <v>829000</v>
      </c>
      <c r="D18" s="9">
        <v>32</v>
      </c>
      <c r="E18" s="9">
        <v>244</v>
      </c>
      <c r="F18" s="12">
        <v>1.0109756097560976</v>
      </c>
    </row>
    <row r="19" spans="1:6" x14ac:dyDescent="0.2">
      <c r="A19" s="8" t="s">
        <v>11</v>
      </c>
      <c r="B19" s="10">
        <v>980000</v>
      </c>
      <c r="C19" s="10">
        <v>1005000</v>
      </c>
      <c r="D19" s="9">
        <v>40</v>
      </c>
      <c r="E19" s="9">
        <v>275</v>
      </c>
      <c r="F19" s="12">
        <v>1.0255102040816326</v>
      </c>
    </row>
    <row r="20" spans="1:6" x14ac:dyDescent="0.2">
      <c r="A20" s="8" t="s">
        <v>29</v>
      </c>
      <c r="B20" s="10">
        <v>4045000</v>
      </c>
      <c r="C20" s="10">
        <v>4140000</v>
      </c>
      <c r="D20" s="9">
        <v>178</v>
      </c>
      <c r="E20" s="9">
        <v>1219</v>
      </c>
      <c r="F20" s="12">
        <v>1.0234857849196539</v>
      </c>
    </row>
  </sheetData>
  <mergeCells count="1">
    <mergeCell ref="A14:C14"/>
  </mergeCell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</vt:lpstr>
      <vt:lpstr>Data Table</vt:lpstr>
      <vt:lpstr>Performance_Report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2026-02-22T14:17:10Z</dcterms:created>
  <dcterms:modified xsi:type="dcterms:W3CDTF">2026-02-22T15:43:15Z</dcterms:modified>
</cp:coreProperties>
</file>