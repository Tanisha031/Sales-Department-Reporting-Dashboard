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activeTab="3"/>
  </bookViews>
  <sheets>
    <sheet name="Sheet4" sheetId="4" r:id="rId1"/>
    <sheet name="Sales Data" sheetId="1" r:id="rId2"/>
    <sheet name="Collection Data" sheetId="2" r:id="rId3"/>
    <sheet name="Collection Summary Report" sheetId="3" r:id="rId4"/>
  </sheets>
  <calcPr calcId="162913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2" i="1"/>
  <c r="L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I17" i="1"/>
  <c r="I4" i="1"/>
  <c r="I3" i="1"/>
  <c r="I6" i="1"/>
  <c r="I7" i="1"/>
  <c r="I8" i="1"/>
  <c r="I9" i="1"/>
  <c r="I10" i="1"/>
  <c r="I11" i="1"/>
  <c r="I15" i="1"/>
  <c r="I2" i="1"/>
  <c r="B7" i="3"/>
  <c r="B9" i="3" s="1"/>
  <c r="B6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B8" i="3" l="1"/>
</calcChain>
</file>

<file path=xl/sharedStrings.xml><?xml version="1.0" encoding="utf-8"?>
<sst xmlns="http://schemas.openxmlformats.org/spreadsheetml/2006/main" count="195" uniqueCount="100">
  <si>
    <t>Invoice No</t>
  </si>
  <si>
    <t>Invoice Date</t>
  </si>
  <si>
    <t>Customer Name</t>
  </si>
  <si>
    <t>Salesperson</t>
  </si>
  <si>
    <t>Region</t>
  </si>
  <si>
    <t>Total Invoice Amount</t>
  </si>
  <si>
    <t>Credit Days</t>
  </si>
  <si>
    <t>Due Date</t>
  </si>
  <si>
    <t>INV001</t>
  </si>
  <si>
    <t>Al-Habib Traders</t>
  </si>
  <si>
    <t>Ahmed</t>
  </si>
  <si>
    <t>INV002</t>
  </si>
  <si>
    <t>Pak Electronics</t>
  </si>
  <si>
    <t>Sara</t>
  </si>
  <si>
    <t>Lahore</t>
  </si>
  <si>
    <t>INV003</t>
  </si>
  <si>
    <t>Metro Wholesale</t>
  </si>
  <si>
    <t>Bilal</t>
  </si>
  <si>
    <t>Islamabad</t>
  </si>
  <si>
    <t>INV004</t>
  </si>
  <si>
    <t>Royal Distributors</t>
  </si>
  <si>
    <t>INV005</t>
  </si>
  <si>
    <t>City Mart</t>
  </si>
  <si>
    <t>INV006</t>
  </si>
  <si>
    <t>National Stores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</si>
  <si>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</si>
  <si>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</si>
  <si>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</si>
  <si>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</si>
  <si>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</si>
  <si>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</si>
  <si>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</si>
  <si>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</si>
  <si>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</si>
  <si>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Supriya</t>
  </si>
  <si>
    <t>Radhika</t>
  </si>
  <si>
    <t>Krish</t>
  </si>
  <si>
    <t>Shiv</t>
  </si>
  <si>
    <t>Umerkot</t>
  </si>
  <si>
    <t>Larkana</t>
  </si>
  <si>
    <t>Hyderabad</t>
  </si>
  <si>
    <t>Sukkhar</t>
  </si>
  <si>
    <t>Tandoadam</t>
  </si>
  <si>
    <t>Dawnlance</t>
  </si>
  <si>
    <t>L.G</t>
  </si>
  <si>
    <t>Company Name</t>
  </si>
  <si>
    <t>Quantium</t>
  </si>
  <si>
    <t>Deloitte</t>
  </si>
  <si>
    <t>JP Morgan</t>
  </si>
  <si>
    <t>KPMC</t>
  </si>
  <si>
    <t>BCG</t>
  </si>
  <si>
    <t>Kawish</t>
  </si>
  <si>
    <t>Pulse</t>
  </si>
  <si>
    <t>Ahmedd</t>
  </si>
  <si>
    <t>Faisal</t>
  </si>
  <si>
    <t>Abrahim</t>
  </si>
  <si>
    <t>Faiz</t>
  </si>
  <si>
    <t>Moiz</t>
  </si>
  <si>
    <t>Receipt No</t>
  </si>
  <si>
    <t>Receipt Date</t>
  </si>
  <si>
    <t>Amount Received</t>
  </si>
  <si>
    <t>Payment Mode</t>
  </si>
  <si>
    <t>RC001</t>
  </si>
  <si>
    <t>Bank Transfer</t>
  </si>
  <si>
    <t>RC002</t>
  </si>
  <si>
    <t>Cash</t>
  </si>
  <si>
    <t>RC003</t>
  </si>
  <si>
    <t>Cheque</t>
  </si>
  <si>
    <t>RC004</t>
  </si>
  <si>
    <t>RC005</t>
  </si>
  <si>
    <t>Online Transfer</t>
  </si>
  <si>
    <t>RC006</t>
  </si>
  <si>
    <t>RC007</t>
  </si>
  <si>
    <t>RC008</t>
  </si>
  <si>
    <t>RC009</t>
  </si>
  <si>
    <t>RC010</t>
  </si>
  <si>
    <t>RC011</t>
  </si>
  <si>
    <t>RC012</t>
  </si>
  <si>
    <t>RC013</t>
  </si>
  <si>
    <t>RC014</t>
  </si>
  <si>
    <t>RC015</t>
  </si>
  <si>
    <t>Total Sales</t>
  </si>
  <si>
    <t>Total Collection</t>
  </si>
  <si>
    <t>Outstanding Amount</t>
  </si>
  <si>
    <t>Collection %</t>
  </si>
  <si>
    <t>Outstanding</t>
  </si>
  <si>
    <t>Overdue</t>
  </si>
  <si>
    <t>Aging Category</t>
  </si>
  <si>
    <t>Category</t>
  </si>
  <si>
    <t>Amount</t>
  </si>
  <si>
    <t>Grand Total</t>
  </si>
  <si>
    <t>Total Invoice Amount.</t>
  </si>
  <si>
    <t>Total Outstanding</t>
  </si>
  <si>
    <t>Salespersons</t>
  </si>
  <si>
    <t>Hightest Outstanding Salesperson</t>
  </si>
  <si>
    <t>Highest Region Outstanding</t>
  </si>
  <si>
    <t>Salesperson-wise Outstanding</t>
  </si>
  <si>
    <t>Region-wise Outstanding</t>
  </si>
  <si>
    <t>Collection Report Summary</t>
  </si>
  <si>
    <t>Months: 01-Jan-2026 to 01-Apr-2026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</si>
</sst>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_-[$Rs-420]\ * #,##0_-;\-[$Rs-420]\ * #,##0_-;_-[$Rs-420]\ * &quot;-&quot;??_-;_-@_-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72" fontId="0" fillId="0" borderId="0" xfId="0" applyNumberFormat="1" applyAlignment="1">
      <alignment vertical="center" wrapText="1"/>
    </xf>
    <xf numFmtId="172" fontId="0" fillId="0" borderId="0" xfId="0" applyNumberFormat="1"/>
    <xf numFmtId="172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2" fillId="3" borderId="0" xfId="0" applyFont="1" applyFill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72" fontId="0" fillId="0" borderId="1" xfId="0" applyNumberFormat="1" applyBorder="1"/>
    <xf numFmtId="9" fontId="0" fillId="0" borderId="1" xfId="1" applyFont="1" applyBorder="1"/>
    <xf numFmtId="0" fontId="4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36">
    <dxf>
      <numFmt numFmtId="170" formatCode="_-[$Rs-420]\ * #,##0.00_-;\-[$Rs-420]\ * #,##0.00_-;_-[$Rs-420]\ * &quot;-&quot;??_-;_-@_-"/>
    </dxf>
    <dxf>
      <numFmt numFmtId="171" formatCode="_-[$Rs-420]\ * #,##0.0_-;\-[$Rs-420]\ * #,##0.0_-;_-[$Rs-420]\ * &quot;-&quot;??_-;_-@_-"/>
    </dxf>
    <dxf>
      <numFmt numFmtId="172" formatCode="_-[$Rs-420]\ * #,##0_-;\-[$Rs-420]\ * #,##0_-;_-[$Rs-420]\ * &quot;-&quot;??_-;_-@_-"/>
    </dxf>
    <dxf>
      <numFmt numFmtId="170" formatCode="_-[$Rs-420]\ * #,##0.00_-;\-[$Rs-420]\ * #,##0.00_-;_-[$Rs-420]\ * &quot;-&quot;??_-;_-@_-"/>
    </dxf>
    <dxf>
      <numFmt numFmtId="171" formatCode="_-[$Rs-420]\ * #,##0.0_-;\-[$Rs-420]\ * #,##0.0_-;_-[$Rs-420]\ * &quot;-&quot;??_-;_-@_-"/>
    </dxf>
    <dxf>
      <numFmt numFmtId="172" formatCode="_-[$Rs-420]\ * #,##0_-;\-[$Rs-420]\ * #,##0_-;_-[$Rs-420]\ * &quot;-&quot;??_-;_-@_-"/>
    </dxf>
    <dxf>
      <numFmt numFmtId="170" formatCode="_-[$Rs-420]\ * #,##0.00_-;\-[$Rs-420]\ * #,##0.00_-;_-[$Rs-420]\ * &quot;-&quot;??_-;_-@_-"/>
    </dxf>
    <dxf>
      <numFmt numFmtId="171" formatCode="_-[$Rs-420]\ * #,##0.0_-;\-[$Rs-420]\ * #,##0.0_-;_-[$Rs-420]\ * &quot;-&quot;??_-;_-@_-"/>
    </dxf>
    <dxf>
      <numFmt numFmtId="172" formatCode="_-[$Rs-420]\ * #,##0_-;\-[$Rs-420]\ * #,##0_-;_-[$Rs-420]\ * &quot;-&quot;??_-;_-@_-"/>
    </dxf>
    <dxf>
      <numFmt numFmtId="170" formatCode="_-[$Rs-420]\ * #,##0.00_-;\-[$Rs-420]\ * #,##0.00_-;_-[$Rs-420]\ * &quot;-&quot;??_-;_-@_-"/>
    </dxf>
    <dxf>
      <numFmt numFmtId="171" formatCode="_-[$Rs-420]\ * #,##0.0_-;\-[$Rs-420]\ * #,##0.0_-;_-[$Rs-420]\ * &quot;-&quot;??_-;_-@_-"/>
    </dxf>
    <dxf>
      <numFmt numFmtId="172" formatCode="_-[$Rs-420]\ * #,##0_-;\-[$Rs-420]\ * #,##0_-;_-[$Rs-420]\ * &quot;-&quot;??_-;_-@_-"/>
    </dxf>
    <dxf>
      <numFmt numFmtId="170" formatCode="_-[$Rs-420]\ * #,##0.00_-;\-[$Rs-420]\ * #,##0.00_-;_-[$Rs-420]\ * &quot;-&quot;??_-;_-@_-"/>
    </dxf>
    <dxf>
      <numFmt numFmtId="171" formatCode="_-[$Rs-420]\ * #,##0.0_-;\-[$Rs-420]\ * #,##0.0_-;_-[$Rs-420]\ * &quot;-&quot;??_-;_-@_-"/>
    </dxf>
    <dxf>
      <numFmt numFmtId="172" formatCode="_-[$Rs-420]\ * #,##0_-;\-[$Rs-420]\ * #,##0_-;_-[$Rs-420]\ * &quot;-&quot;??_-;_-@_-"/>
    </dxf>
    <dxf>
      <numFmt numFmtId="170" formatCode="_-[$Rs-420]\ * #,##0.00_-;\-[$Rs-420]\ * #,##0.00_-;_-[$Rs-420]\ * &quot;-&quot;??_-;_-@_-"/>
    </dxf>
    <dxf>
      <numFmt numFmtId="171" formatCode="_-[$Rs-420]\ * #,##0.0_-;\-[$Rs-420]\ * #,##0.0_-;_-[$Rs-420]\ * &quot;-&quot;??_-;_-@_-"/>
    </dxf>
    <dxf>
      <numFmt numFmtId="172" formatCode="_-[$Rs-420]\ * #,##0_-;\-[$Rs-420]\ * #,##0_-;_-[$Rs-420]\ * &quot;-&quot;??_-;_-@_-"/>
    </dxf>
    <dxf>
      <numFmt numFmtId="170" formatCode="_-[$Rs-420]\ * #,##0.00_-;\-[$Rs-420]\ * #,##0.00_-;_-[$Rs-420]\ * &quot;-&quot;??_-;_-@_-"/>
    </dxf>
    <dxf>
      <numFmt numFmtId="171" formatCode="_-[$Rs-420]\ * #,##0.0_-;\-[$Rs-420]\ * #,##0.0_-;_-[$Rs-420]\ * &quot;-&quot;??_-;_-@_-"/>
    </dxf>
    <dxf>
      <numFmt numFmtId="172" formatCode="_-[$Rs-420]\ * #,##0_-;\-[$Rs-420]\ * #,##0_-;_-[$Rs-420]\ * &quot;-&quot;??_-;_-@_-"/>
    </dxf>
    <dxf>
      <numFmt numFmtId="170" formatCode="_-[$Rs-420]\ * #,##0.00_-;\-[$Rs-420]\ * #,##0.00_-;_-[$Rs-420]\ * &quot;-&quot;??_-;_-@_-"/>
    </dxf>
    <dxf>
      <numFmt numFmtId="171" formatCode="_-[$Rs-420]\ * #,##0.0_-;\-[$Rs-420]\ * #,##0.0_-;_-[$Rs-420]\ * &quot;-&quot;??_-;_-@_-"/>
    </dxf>
    <dxf>
      <numFmt numFmtId="172" formatCode="_-[$Rs-420]\ * #,##0_-;\-[$Rs-420]\ * #,##0_-;_-[$Rs-420]\ * &quot;-&quot;??_-;_-@_-"/>
    </dxf>
    <dxf>
      <numFmt numFmtId="170" formatCode="_-[$Rs-420]\ * #,##0.00_-;\-[$Rs-420]\ * #,##0.00_-;_-[$Rs-420]\ * &quot;-&quot;??_-;_-@_-"/>
    </dxf>
    <dxf>
      <numFmt numFmtId="171" formatCode="_-[$Rs-420]\ * #,##0.0_-;\-[$Rs-420]\ * #,##0.0_-;_-[$Rs-420]\ * &quot;-&quot;??_-;_-@_-"/>
    </dxf>
    <dxf>
      <numFmt numFmtId="172" formatCode="_-[$Rs-420]\ * #,##0_-;\-[$Rs-420]\ * #,##0_-;_-[$Rs-420]\ * &quot;-&quot;??_-;_-@_-"/>
    </dxf>
    <dxf>
      <numFmt numFmtId="170" formatCode="_-[$Rs-420]\ * #,##0.00_-;\-[$Rs-420]\ * #,##0.00_-;_-[$Rs-420]\ * &quot;-&quot;??_-;_-@_-"/>
    </dxf>
    <dxf>
      <numFmt numFmtId="171" formatCode="_-[$Rs-420]\ * #,##0.0_-;\-[$Rs-420]\ * #,##0.0_-;_-[$Rs-420]\ * &quot;-&quot;??_-;_-@_-"/>
    </dxf>
    <dxf>
      <numFmt numFmtId="172" formatCode="_-[$Rs-420]\ * #,##0_-;\-[$Rs-420]\ * #,##0_-;_-[$Rs-420]\ * &quot;-&quot;??_-;_-@_-"/>
    </dxf>
    <dxf>
      <numFmt numFmtId="170" formatCode="_-[$Rs-420]\ * #,##0.00_-;\-[$Rs-420]\ * #,##0.00_-;_-[$Rs-420]\ * &quot;-&quot;??_-;_-@_-"/>
    </dxf>
    <dxf>
      <numFmt numFmtId="171" formatCode="_-[$Rs-420]\ * #,##0.0_-;\-[$Rs-420]\ * #,##0.0_-;_-[$Rs-420]\ * &quot;-&quot;??_-;_-@_-"/>
    </dxf>
    <dxf>
      <numFmt numFmtId="172" formatCode="_-[$Rs-420]\ * #,##0_-;\-[$Rs-420]\ * #,##0_-;_-[$Rs-420]\ * &quot;-&quot;??_-;_-@_-"/>
    </dxf>
    <dxf>
      <numFmt numFmtId="172" formatCode="_-[$Rs-420]\ * #,##0_-;\-[$Rs-420]\ * #,##0_-;_-[$Rs-420]\ * &quot;-&quot;??_-;_-@_-"/>
    </dxf>
    <dxf>
      <numFmt numFmtId="171" formatCode="_-[$Rs-420]\ * #,##0.0_-;\-[$Rs-420]\ * #,##0.0_-;_-[$Rs-420]\ * &quot;-&quot;??_-;_-@_-"/>
    </dxf>
    <dxf>
      <numFmt numFmtId="170" formatCode="_-[$Rs-420]\ * #,##0.00_-;\-[$Rs-420]\ * #,##0.00_-;_-[$Rs-420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75.936779976852" createdVersion="6" refreshedVersion="6" minRefreshableVersion="3" recordCount="15">
  <cacheSource type="worksheet">
    <worksheetSource ref="A1:L16" sheet="Sales Data"/>
  </cacheSource>
  <cacheFields count="12">
    <cacheField name="Invoice No" numFmtId="0">
      <sharedItems/>
    </cacheField>
    <cacheField name="Invoice Date" numFmtId="14">
      <sharedItems containsSemiMixedTypes="0" containsNonDate="0" containsDate="1" containsString="0" minDate="2026-01-01T00:00:00" maxDate="2026-02-24T00:00:00"/>
    </cacheField>
    <cacheField name="Company Name" numFmtId="0">
      <sharedItems/>
    </cacheField>
    <cacheField name="Salesperson" numFmtId="0">
      <sharedItems count="12">
        <s v="Ahmed"/>
        <s v="Sara"/>
        <s v="Bilal"/>
        <s v="Supriya"/>
        <s v="Radhika"/>
        <s v="Krish"/>
        <s v="Shiv"/>
        <s v="Ahmedd"/>
        <s v="Faisal"/>
        <s v="Abrahim"/>
        <s v="Faiz"/>
        <s v="Moiz"/>
      </sharedItems>
    </cacheField>
    <cacheField name="Region" numFmtId="0">
      <sharedItems count="7">
        <s v="Larkana"/>
        <s v="Lahore"/>
        <s v="Islamabad"/>
        <s v="Umerkot"/>
        <s v="Hyderabad"/>
        <s v="Sukkhar"/>
        <s v="Tandoadam"/>
      </sharedItems>
    </cacheField>
    <cacheField name="Total Invoice Amount" numFmtId="172">
      <sharedItems containsSemiMixedTypes="0" containsString="0" containsNumber="1" containsInteger="1" minValue="125000" maxValue="753000"/>
    </cacheField>
    <cacheField name="Credit Days" numFmtId="0">
      <sharedItems containsSemiMixedTypes="0" containsString="0" containsNumber="1" containsInteger="1" minValue="11" maxValue="60"/>
    </cacheField>
    <cacheField name="Due Date" numFmtId="14">
      <sharedItems containsSemiMixedTypes="0" containsNonDate="0" containsDate="1" containsString="0" minDate="2026-01-23T00:00:00" maxDate="2026-03-20T00:00:00"/>
    </cacheField>
    <cacheField name="Amount Received" numFmtId="172">
      <sharedItems containsSemiMixedTypes="0" containsString="0" containsNumber="1" containsInteger="1" minValue="27000" maxValue="980000"/>
    </cacheField>
    <cacheField name="Outstanding" numFmtId="172">
      <sharedItems containsSemiMixedTypes="0" containsString="0" containsNumber="1" containsInteger="1" minValue="-420000" maxValue="426000"/>
    </cacheField>
    <cacheField name="Overdue" numFmtId="0">
      <sharedItems containsSemiMixedTypes="0" containsString="0" containsNumber="1" containsInteger="1" minValue="0" maxValue="30"/>
    </cacheField>
    <cacheField name="Aging 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s v="INV001"/>
    <d v="2026-01-01T00:00:00"/>
    <s v="Al-Habib Traders"/>
    <x v="0"/>
    <x v="0"/>
    <n v="150000"/>
    <n v="30"/>
    <d v="2026-01-31T00:00:00"/>
    <n v="150000"/>
    <n v="0"/>
    <n v="22"/>
    <s v="0-30 Days"/>
  </r>
  <r>
    <s v="INV002"/>
    <d v="2026-01-03T00:00:00"/>
    <s v="Pak Electronics"/>
    <x v="1"/>
    <x v="1"/>
    <n v="220000"/>
    <n v="45"/>
    <d v="2026-02-17T00:00:00"/>
    <n v="120000"/>
    <n v="100000"/>
    <n v="5"/>
    <s v="0-30 Days"/>
  </r>
  <r>
    <s v="INV003"/>
    <d v="2026-01-05T00:00:00"/>
    <s v="Metro Wholesale"/>
    <x v="2"/>
    <x v="2"/>
    <n v="175000"/>
    <n v="30"/>
    <d v="2026-02-04T00:00:00"/>
    <n v="175000"/>
    <n v="0"/>
    <n v="18"/>
    <s v="0-30 Days"/>
  </r>
  <r>
    <s v="INV004"/>
    <d v="2026-01-08T00:00:00"/>
    <s v="Royal Distributors"/>
    <x v="0"/>
    <x v="3"/>
    <n v="195000"/>
    <n v="15"/>
    <d v="2026-01-23T00:00:00"/>
    <n v="95000"/>
    <n v="100000"/>
    <n v="30"/>
    <s v="0-30 Days"/>
  </r>
  <r>
    <s v="INV005"/>
    <d v="2026-01-12T00:00:00"/>
    <s v="City Mart"/>
    <x v="1"/>
    <x v="1"/>
    <n v="300000"/>
    <n v="60"/>
    <d v="2026-03-13T00:00:00"/>
    <n v="67000"/>
    <n v="233000"/>
    <n v="0"/>
    <s v="Not Due"/>
  </r>
  <r>
    <s v="INV006"/>
    <d v="2026-01-15T00:00:00"/>
    <s v="National Stores"/>
    <x v="2"/>
    <x v="2"/>
    <n v="125000"/>
    <n v="30"/>
    <d v="2026-02-14T00:00:00"/>
    <n v="76000"/>
    <n v="49000"/>
    <n v="8"/>
    <s v="0-30 Days"/>
  </r>
  <r>
    <s v="INV007"/>
    <d v="2026-01-18T00:00:00"/>
    <s v="Dawnlance"/>
    <x v="3"/>
    <x v="3"/>
    <n v="345000"/>
    <n v="24"/>
    <d v="2026-02-11T00:00:00"/>
    <n v="132000"/>
    <n v="213000"/>
    <n v="11"/>
    <s v="0-30 Days"/>
  </r>
  <r>
    <s v="INV008"/>
    <d v="2026-01-21T00:00:00"/>
    <s v="L.G"/>
    <x v="4"/>
    <x v="0"/>
    <n v="436000"/>
    <n v="43"/>
    <d v="2026-03-05T00:00:00"/>
    <n v="67000"/>
    <n v="369000"/>
    <n v="0"/>
    <s v="Not Due"/>
  </r>
  <r>
    <s v="INV009"/>
    <d v="2026-01-25T00:00:00"/>
    <s v="Quantium"/>
    <x v="5"/>
    <x v="4"/>
    <n v="342000"/>
    <n v="32"/>
    <d v="2026-02-26T00:00:00"/>
    <n v="250000"/>
    <n v="92000"/>
    <n v="0"/>
    <s v="Not Due"/>
  </r>
  <r>
    <s v="INV010"/>
    <d v="2026-01-27T00:00:00"/>
    <s v="Deloitte"/>
    <x v="6"/>
    <x v="5"/>
    <n v="560000"/>
    <n v="11"/>
    <d v="2026-02-07T00:00:00"/>
    <n v="980000"/>
    <n v="-420000"/>
    <n v="15"/>
    <s v="0-30 Days"/>
  </r>
  <r>
    <s v="INV011"/>
    <d v="2026-01-31T00:00:00"/>
    <s v="JP Morgan"/>
    <x v="7"/>
    <x v="6"/>
    <n v="342000"/>
    <n v="21"/>
    <d v="2026-02-21T00:00:00"/>
    <n v="82000"/>
    <n v="260000"/>
    <n v="1"/>
    <s v="0-30 Days"/>
  </r>
  <r>
    <s v="INV012"/>
    <d v="2026-02-05T00:00:00"/>
    <s v="KPMC"/>
    <x v="8"/>
    <x v="4"/>
    <n v="453000"/>
    <n v="42"/>
    <d v="2026-03-19T00:00:00"/>
    <n v="27000"/>
    <n v="426000"/>
    <n v="0"/>
    <s v="Not Due"/>
  </r>
  <r>
    <s v="INV013"/>
    <d v="2026-02-12T00:00:00"/>
    <s v="BCG"/>
    <x v="9"/>
    <x v="3"/>
    <n v="753000"/>
    <n v="35"/>
    <d v="2026-03-19T00:00:00"/>
    <n v="980000"/>
    <n v="-227000"/>
    <n v="0"/>
    <s v="Not Due"/>
  </r>
  <r>
    <s v="INV014"/>
    <d v="2026-02-17T00:00:00"/>
    <s v="Kawish"/>
    <x v="10"/>
    <x v="6"/>
    <n v="563000"/>
    <n v="15"/>
    <d v="2026-03-04T00:00:00"/>
    <n v="420000"/>
    <n v="143000"/>
    <n v="0"/>
    <s v="Not Due"/>
  </r>
  <r>
    <s v="INV015"/>
    <d v="2026-02-23T00:00:00"/>
    <s v="Pulse"/>
    <x v="11"/>
    <x v="0"/>
    <n v="454000"/>
    <n v="23"/>
    <d v="2026-03-18T00:00:00"/>
    <n v="152000"/>
    <n v="302000"/>
    <n v="0"/>
    <s v="Not D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alespersons">
  <location ref="A3:C16" firstHeaderRow="0" firstDataRow="1" firstDataCol="1"/>
  <pivotFields count="12">
    <pivotField showAll="0"/>
    <pivotField numFmtId="14" showAll="0"/>
    <pivotField showAll="0"/>
    <pivotField axis="axisRow" showAll="0" sortType="descending">
      <items count="13">
        <item x="9"/>
        <item x="0"/>
        <item x="7"/>
        <item x="2"/>
        <item x="8"/>
        <item x="10"/>
        <item x="5"/>
        <item x="11"/>
        <item x="4"/>
        <item x="1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numFmtId="172" showAll="0"/>
    <pivotField showAll="0"/>
    <pivotField numFmtId="14" showAll="0"/>
    <pivotField numFmtId="172" showAll="0"/>
    <pivotField dataField="1" numFmtId="172" showAll="0"/>
    <pivotField showAll="0"/>
    <pivotField showAll="0"/>
  </pivotFields>
  <rowFields count="1">
    <field x="3"/>
  </rowFields>
  <rowItems count="13">
    <i>
      <x v="4"/>
    </i>
    <i>
      <x v="8"/>
    </i>
    <i>
      <x v="9"/>
    </i>
    <i>
      <x v="7"/>
    </i>
    <i>
      <x v="2"/>
    </i>
    <i>
      <x v="11"/>
    </i>
    <i>
      <x v="5"/>
    </i>
    <i>
      <x v="1"/>
    </i>
    <i>
      <x v="6"/>
    </i>
    <i>
      <x v="3"/>
    </i>
    <i>
      <x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Invoice Amount." fld="5" baseField="0" baseItem="0"/>
    <dataField name="Total Outstanding" fld="9" baseField="0" baseItem="0"/>
  </dataFields>
  <formats count="3">
    <format dxfId="35">
      <pivotArea outline="0" collapsedLevelsAreSubtotals="1" fieldPosition="0"/>
    </format>
    <format dxfId="34">
      <pivotArea outline="0" collapsedLevelsAreSubtotals="1" fieldPosition="0"/>
    </format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alespersons">
  <location ref="A31:C39" firstHeaderRow="0" firstDataRow="1" firstDataCol="1"/>
  <pivotFields count="12">
    <pivotField showAll="0"/>
    <pivotField numFmtId="14" showAll="0"/>
    <pivotField showAll="0"/>
    <pivotField showAll="0" sortType="descending">
      <items count="13">
        <item x="9"/>
        <item x="0"/>
        <item x="7"/>
        <item x="2"/>
        <item x="8"/>
        <item x="10"/>
        <item x="5"/>
        <item x="11"/>
        <item x="4"/>
        <item x="1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descending">
      <items count="8">
        <item x="4"/>
        <item x="2"/>
        <item x="1"/>
        <item x="0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172" showAll="0"/>
    <pivotField showAll="0"/>
    <pivotField numFmtId="14" showAll="0"/>
    <pivotField numFmtId="172" showAll="0"/>
    <pivotField dataField="1" numFmtId="172" showAll="0"/>
    <pivotField showAll="0"/>
    <pivotField showAll="0"/>
  </pivotFields>
  <rowFields count="1">
    <field x="4"/>
  </rowFields>
  <rowItems count="8">
    <i>
      <x v="3"/>
    </i>
    <i>
      <x/>
    </i>
    <i>
      <x v="5"/>
    </i>
    <i>
      <x v="2"/>
    </i>
    <i>
      <x v="6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Invoice Amount." fld="5" baseField="0" baseItem="0"/>
    <dataField name="Total Outstanding" fld="9" baseField="0" baseItem="0"/>
  </dataFields>
  <formats count="3">
    <format dxfId="9">
      <pivotArea outline="0" collapsedLevelsAreSubtotals="1" fieldPosition="0"/>
    </format>
    <format dxfId="10">
      <pivotArea outline="0" collapsedLevelsAreSubtotals="1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alespersons">
  <location ref="A15:C28" firstHeaderRow="0" firstDataRow="1" firstDataCol="1"/>
  <pivotFields count="12">
    <pivotField showAll="0"/>
    <pivotField numFmtId="14" showAll="0"/>
    <pivotField showAll="0"/>
    <pivotField axis="axisRow" showAll="0" sortType="descending">
      <items count="13">
        <item x="9"/>
        <item x="0"/>
        <item x="7"/>
        <item x="2"/>
        <item x="8"/>
        <item x="10"/>
        <item x="5"/>
        <item x="11"/>
        <item x="4"/>
        <item x="1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numFmtId="172" showAll="0"/>
    <pivotField showAll="0"/>
    <pivotField numFmtId="14" showAll="0"/>
    <pivotField numFmtId="172" showAll="0"/>
    <pivotField dataField="1" numFmtId="172" showAll="0"/>
    <pivotField showAll="0"/>
    <pivotField showAll="0"/>
  </pivotFields>
  <rowFields count="1">
    <field x="3"/>
  </rowFields>
  <rowItems count="13">
    <i>
      <x v="4"/>
    </i>
    <i>
      <x v="8"/>
    </i>
    <i>
      <x v="9"/>
    </i>
    <i>
      <x v="7"/>
    </i>
    <i>
      <x v="2"/>
    </i>
    <i>
      <x v="11"/>
    </i>
    <i>
      <x v="5"/>
    </i>
    <i>
      <x v="1"/>
    </i>
    <i>
      <x v="6"/>
    </i>
    <i>
      <x v="3"/>
    </i>
    <i>
      <x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Invoice Amount." fld="5" baseField="0" baseItem="0"/>
    <dataField name="Total Outstanding" fld="9" baseField="0" baseItem="0"/>
  </dataFields>
  <formats count="3">
    <format dxfId="18">
      <pivotArea outline="0" collapsedLevelsAreSubtotals="1" fieldPosition="0"/>
    </format>
    <format dxfId="19">
      <pivotArea outline="0" collapsedLevelsAreSubtotals="1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6"/>
  <sheetViews>
    <sheetView workbookViewId="0">
      <selection activeCell="A3" sqref="A3:C16"/>
    </sheetView>
  </sheetViews>
  <sheetFormatPr defaultRowHeight="14.25" x14ac:dyDescent="0.2"/>
  <cols>
    <col min="1" max="1" width="15.125" bestFit="1" customWidth="1"/>
    <col min="2" max="2" width="20.25" customWidth="1"/>
    <col min="3" max="3" width="16.875" customWidth="1"/>
  </cols>
  <sheetData>
    <row r="3" spans="1:3" x14ac:dyDescent="0.2">
      <c r="A3" s="9" t="s">
        <v>93</v>
      </c>
      <c r="B3" t="s">
        <v>91</v>
      </c>
      <c r="C3" t="s">
        <v>92</v>
      </c>
    </row>
    <row r="4" spans="1:3" x14ac:dyDescent="0.2">
      <c r="A4" s="10" t="s">
        <v>54</v>
      </c>
      <c r="B4" s="7">
        <v>453000</v>
      </c>
      <c r="C4" s="7">
        <v>426000</v>
      </c>
    </row>
    <row r="5" spans="1:3" x14ac:dyDescent="0.2">
      <c r="A5" s="10" t="s">
        <v>35</v>
      </c>
      <c r="B5" s="7">
        <v>436000</v>
      </c>
      <c r="C5" s="7">
        <v>369000</v>
      </c>
    </row>
    <row r="6" spans="1:3" x14ac:dyDescent="0.2">
      <c r="A6" s="10" t="s">
        <v>13</v>
      </c>
      <c r="B6" s="7">
        <v>520000</v>
      </c>
      <c r="C6" s="7">
        <v>333000</v>
      </c>
    </row>
    <row r="7" spans="1:3" x14ac:dyDescent="0.2">
      <c r="A7" s="10" t="s">
        <v>57</v>
      </c>
      <c r="B7" s="7">
        <v>454000</v>
      </c>
      <c r="C7" s="7">
        <v>302000</v>
      </c>
    </row>
    <row r="8" spans="1:3" x14ac:dyDescent="0.2">
      <c r="A8" s="10" t="s">
        <v>53</v>
      </c>
      <c r="B8" s="7">
        <v>342000</v>
      </c>
      <c r="C8" s="7">
        <v>260000</v>
      </c>
    </row>
    <row r="9" spans="1:3" x14ac:dyDescent="0.2">
      <c r="A9" s="10" t="s">
        <v>34</v>
      </c>
      <c r="B9" s="7">
        <v>345000</v>
      </c>
      <c r="C9" s="7">
        <v>213000</v>
      </c>
    </row>
    <row r="10" spans="1:3" x14ac:dyDescent="0.2">
      <c r="A10" s="10" t="s">
        <v>56</v>
      </c>
      <c r="B10" s="7">
        <v>563000</v>
      </c>
      <c r="C10" s="7">
        <v>143000</v>
      </c>
    </row>
    <row r="11" spans="1:3" x14ac:dyDescent="0.2">
      <c r="A11" s="10" t="s">
        <v>10</v>
      </c>
      <c r="B11" s="7">
        <v>345000</v>
      </c>
      <c r="C11" s="7">
        <v>100000</v>
      </c>
    </row>
    <row r="12" spans="1:3" x14ac:dyDescent="0.2">
      <c r="A12" s="10" t="s">
        <v>36</v>
      </c>
      <c r="B12" s="7">
        <v>342000</v>
      </c>
      <c r="C12" s="7">
        <v>92000</v>
      </c>
    </row>
    <row r="13" spans="1:3" x14ac:dyDescent="0.2">
      <c r="A13" s="10" t="s">
        <v>17</v>
      </c>
      <c r="B13" s="7">
        <v>300000</v>
      </c>
      <c r="C13" s="7">
        <v>49000</v>
      </c>
    </row>
    <row r="14" spans="1:3" x14ac:dyDescent="0.2">
      <c r="A14" s="10" t="s">
        <v>55</v>
      </c>
      <c r="B14" s="7">
        <v>753000</v>
      </c>
      <c r="C14" s="7">
        <v>-227000</v>
      </c>
    </row>
    <row r="15" spans="1:3" x14ac:dyDescent="0.2">
      <c r="A15" s="10" t="s">
        <v>37</v>
      </c>
      <c r="B15" s="7">
        <v>560000</v>
      </c>
      <c r="C15" s="7">
        <v>-420000</v>
      </c>
    </row>
    <row r="16" spans="1:3" x14ac:dyDescent="0.2">
      <c r="A16" s="10" t="s">
        <v>90</v>
      </c>
      <c r="B16" s="7">
        <v>5413000</v>
      </c>
      <c r="C16" s="7">
        <v>1640000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opLeftCell="B1" workbookViewId="0">
      <selection activeCell="H14" sqref="H14"/>
    </sheetView>
  </sheetViews>
  <sheetFormatPr defaultRowHeight="14.25" x14ac:dyDescent="0.2"/>
  <cols>
    <col min="1" max="1" width="15.375" customWidth="1"/>
    <col min="2" max="2" width="16.75" customWidth="1"/>
    <col min="3" max="3" width="16.375" customWidth="1"/>
    <col min="4" max="4" width="16.5" customWidth="1"/>
    <col min="5" max="5" width="14.875" customWidth="1"/>
    <col min="6" max="6" width="22.75" customWidth="1"/>
    <col min="7" max="7" width="12" customWidth="1"/>
    <col min="8" max="8" width="11.375" customWidth="1"/>
    <col min="9" max="9" width="16.625" bestFit="1" customWidth="1"/>
    <col min="10" max="10" width="11.75" bestFit="1" customWidth="1"/>
    <col min="12" max="12" width="15.625" customWidth="1"/>
  </cols>
  <sheetData>
    <row r="1" spans="1:12" ht="15" x14ac:dyDescent="0.2">
      <c r="A1" s="1" t="s">
        <v>0</v>
      </c>
      <c r="B1" s="1" t="s">
        <v>1</v>
      </c>
      <c r="C1" s="1" t="s">
        <v>45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60</v>
      </c>
      <c r="J1" s="1" t="s">
        <v>85</v>
      </c>
      <c r="K1" s="1" t="s">
        <v>86</v>
      </c>
      <c r="L1" s="1" t="s">
        <v>87</v>
      </c>
    </row>
    <row r="2" spans="1:12" x14ac:dyDescent="0.2">
      <c r="A2" s="2" t="s">
        <v>8</v>
      </c>
      <c r="B2" s="5">
        <v>46023</v>
      </c>
      <c r="C2" s="2" t="s">
        <v>9</v>
      </c>
      <c r="D2" s="2" t="s">
        <v>10</v>
      </c>
      <c r="E2" s="2" t="s">
        <v>39</v>
      </c>
      <c r="F2" s="6">
        <v>150000</v>
      </c>
      <c r="G2" s="2">
        <v>30</v>
      </c>
      <c r="H2" s="5">
        <f xml:space="preserve"> B2 + G2</f>
        <v>46053</v>
      </c>
      <c r="I2" s="7">
        <f>SUMIF('Collection Data'!C2:C16,'Sales Data'!A2,'Collection Data'!E2:E16)</f>
        <v>150000</v>
      </c>
      <c r="J2" s="7">
        <f>F2-I2</f>
        <v>0</v>
      </c>
      <c r="K2">
        <f ca="1" xml:space="preserve"> IF(TODAY() &gt; H2, TODAY() - H2, 0)</f>
        <v>22</v>
      </c>
      <c r="L2" t="str">
        <f ca="1">IF(K2=0,"Not Due",
 IF(K2&lt;=30,"0-30 Days",
 IF(K2&lt;=60,"31-60 Days",
 "60+ Days")))</f>
        <v>0-30 Days</v>
      </c>
    </row>
    <row r="3" spans="1:12" x14ac:dyDescent="0.2">
      <c r="A3" s="2" t="s">
        <v>11</v>
      </c>
      <c r="B3" s="5">
        <v>46025</v>
      </c>
      <c r="C3" s="2" t="s">
        <v>12</v>
      </c>
      <c r="D3" s="2" t="s">
        <v>13</v>
      </c>
      <c r="E3" s="2" t="s">
        <v>14</v>
      </c>
      <c r="F3" s="6">
        <v>220000</v>
      </c>
      <c r="G3" s="2">
        <v>45</v>
      </c>
      <c r="H3" s="5">
        <f t="shared" ref="H3:H16" si="0" xml:space="preserve"> B3 + G3</f>
        <v>46070</v>
      </c>
      <c r="I3" s="7">
        <f>SUMIF('Collection Data'!C3:C17,'Sales Data'!A3,'Collection Data'!E3:E17)</f>
        <v>120000</v>
      </c>
      <c r="J3" s="7">
        <f t="shared" ref="J3:J16" si="1">F3-I3</f>
        <v>100000</v>
      </c>
      <c r="K3">
        <f t="shared" ref="K3:K16" ca="1" si="2" xml:space="preserve"> IF(TODAY() &gt; H3, TODAY() - H3, 0)</f>
        <v>5</v>
      </c>
      <c r="L3" t="str">
        <f t="shared" ref="L3:L16" ca="1" si="3">IF(K3=0,"Not Due",
 IF(K3&lt;=30,"0-30 Days",
 IF(K3&lt;=60,"31-60 Days",
 "60+ Days")))</f>
        <v>0-30 Days</v>
      </c>
    </row>
    <row r="4" spans="1:12" x14ac:dyDescent="0.2">
      <c r="A4" s="2" t="s">
        <v>15</v>
      </c>
      <c r="B4" s="5">
        <v>46027</v>
      </c>
      <c r="C4" s="2" t="s">
        <v>16</v>
      </c>
      <c r="D4" s="2" t="s">
        <v>17</v>
      </c>
      <c r="E4" s="2" t="s">
        <v>18</v>
      </c>
      <c r="F4" s="6">
        <v>175000</v>
      </c>
      <c r="G4" s="2">
        <v>30</v>
      </c>
      <c r="H4" s="5">
        <f t="shared" si="0"/>
        <v>46057</v>
      </c>
      <c r="I4" s="7">
        <f>SUMIF('Collection Data'!C4:C18,'Sales Data'!A4,'Collection Data'!E4:E18)</f>
        <v>175000</v>
      </c>
      <c r="J4" s="7">
        <f t="shared" si="1"/>
        <v>0</v>
      </c>
      <c r="K4">
        <f t="shared" ca="1" si="2"/>
        <v>18</v>
      </c>
      <c r="L4" t="str">
        <f t="shared" ca="1" si="3"/>
        <v>0-30 Days</v>
      </c>
    </row>
    <row r="5" spans="1:12" x14ac:dyDescent="0.2">
      <c r="A5" s="2" t="s">
        <v>19</v>
      </c>
      <c r="B5" s="5">
        <v>46030</v>
      </c>
      <c r="C5" s="2" t="s">
        <v>20</v>
      </c>
      <c r="D5" s="2" t="s">
        <v>10</v>
      </c>
      <c r="E5" s="2" t="s">
        <v>38</v>
      </c>
      <c r="F5" s="6">
        <v>195000</v>
      </c>
      <c r="G5" s="2">
        <v>15</v>
      </c>
      <c r="H5" s="5">
        <f t="shared" si="0"/>
        <v>46045</v>
      </c>
      <c r="I5" s="7">
        <v>95000</v>
      </c>
      <c r="J5" s="7">
        <f t="shared" si="1"/>
        <v>100000</v>
      </c>
      <c r="K5">
        <f t="shared" ca="1" si="2"/>
        <v>30</v>
      </c>
      <c r="L5" t="str">
        <f t="shared" ca="1" si="3"/>
        <v>0-30 Days</v>
      </c>
    </row>
    <row r="6" spans="1:12" x14ac:dyDescent="0.2">
      <c r="A6" s="2" t="s">
        <v>21</v>
      </c>
      <c r="B6" s="5">
        <v>46034</v>
      </c>
      <c r="C6" s="2" t="s">
        <v>22</v>
      </c>
      <c r="D6" s="2" t="s">
        <v>13</v>
      </c>
      <c r="E6" s="2" t="s">
        <v>14</v>
      </c>
      <c r="F6" s="6">
        <v>300000</v>
      </c>
      <c r="G6" s="2">
        <v>60</v>
      </c>
      <c r="H6" s="5">
        <f t="shared" si="0"/>
        <v>46094</v>
      </c>
      <c r="I6" s="7">
        <f>SUMIF('Collection Data'!C6:C20,'Sales Data'!A6,'Collection Data'!E6:E20)</f>
        <v>67000</v>
      </c>
      <c r="J6" s="7">
        <f t="shared" si="1"/>
        <v>233000</v>
      </c>
      <c r="K6">
        <f t="shared" ca="1" si="2"/>
        <v>0</v>
      </c>
      <c r="L6" t="str">
        <f t="shared" ca="1" si="3"/>
        <v>Not Due</v>
      </c>
    </row>
    <row r="7" spans="1:12" x14ac:dyDescent="0.2">
      <c r="A7" s="2" t="s">
        <v>23</v>
      </c>
      <c r="B7" s="5">
        <v>46037</v>
      </c>
      <c r="C7" s="2" t="s">
        <v>24</v>
      </c>
      <c r="D7" s="2" t="s">
        <v>17</v>
      </c>
      <c r="E7" s="2" t="s">
        <v>18</v>
      </c>
      <c r="F7" s="6">
        <v>125000</v>
      </c>
      <c r="G7" s="2">
        <v>30</v>
      </c>
      <c r="H7" s="5">
        <f t="shared" si="0"/>
        <v>46067</v>
      </c>
      <c r="I7" s="7">
        <f>SUMIF('Collection Data'!C7:C21,'Sales Data'!A7,'Collection Data'!E7:E21)</f>
        <v>76000</v>
      </c>
      <c r="J7" s="7">
        <f t="shared" si="1"/>
        <v>49000</v>
      </c>
      <c r="K7">
        <f t="shared" ca="1" si="2"/>
        <v>8</v>
      </c>
      <c r="L7" t="str">
        <f t="shared" ca="1" si="3"/>
        <v>0-30 Days</v>
      </c>
    </row>
    <row r="8" spans="1:12" x14ac:dyDescent="0.2">
      <c r="A8" s="2" t="s">
        <v>25</v>
      </c>
      <c r="B8" s="5">
        <v>46040</v>
      </c>
      <c r="C8" s="2" t="s">
        <v>43</v>
      </c>
      <c r="D8" s="2" t="s">
        <v>34</v>
      </c>
      <c r="E8" s="2" t="s">
        <v>38</v>
      </c>
      <c r="F8" s="6">
        <v>345000</v>
      </c>
      <c r="G8" s="2">
        <v>24</v>
      </c>
      <c r="H8" s="5">
        <f t="shared" si="0"/>
        <v>46064</v>
      </c>
      <c r="I8" s="7">
        <f>SUMIF('Collection Data'!C8:C22,'Sales Data'!A8,'Collection Data'!E8:E22)</f>
        <v>132000</v>
      </c>
      <c r="J8" s="7">
        <f t="shared" si="1"/>
        <v>213000</v>
      </c>
      <c r="K8">
        <f t="shared" ca="1" si="2"/>
        <v>11</v>
      </c>
      <c r="L8" t="str">
        <f t="shared" ca="1" si="3"/>
        <v>0-30 Days</v>
      </c>
    </row>
    <row r="9" spans="1:12" x14ac:dyDescent="0.2">
      <c r="A9" s="2" t="s">
        <v>26</v>
      </c>
      <c r="B9" s="4">
        <v>46043</v>
      </c>
      <c r="C9" s="2" t="s">
        <v>44</v>
      </c>
      <c r="D9" s="2" t="s">
        <v>35</v>
      </c>
      <c r="E9" s="2" t="s">
        <v>39</v>
      </c>
      <c r="F9" s="6">
        <v>436000</v>
      </c>
      <c r="G9" s="2">
        <v>43</v>
      </c>
      <c r="H9" s="5">
        <f t="shared" si="0"/>
        <v>46086</v>
      </c>
      <c r="I9" s="7">
        <f>SUMIF('Collection Data'!C9:C23,'Sales Data'!A9,'Collection Data'!E9:E23)</f>
        <v>67000</v>
      </c>
      <c r="J9" s="7">
        <f t="shared" si="1"/>
        <v>369000</v>
      </c>
      <c r="K9">
        <f t="shared" ca="1" si="2"/>
        <v>0</v>
      </c>
      <c r="L9" t="str">
        <f t="shared" ca="1" si="3"/>
        <v>Not Due</v>
      </c>
    </row>
    <row r="10" spans="1:12" x14ac:dyDescent="0.2">
      <c r="A10" s="2" t="s">
        <v>27</v>
      </c>
      <c r="B10" s="4">
        <v>46047</v>
      </c>
      <c r="C10" s="2" t="s">
        <v>46</v>
      </c>
      <c r="D10" s="2" t="s">
        <v>36</v>
      </c>
      <c r="E10" s="2" t="s">
        <v>40</v>
      </c>
      <c r="F10" s="6">
        <v>342000</v>
      </c>
      <c r="G10" s="2">
        <v>32</v>
      </c>
      <c r="H10" s="5">
        <f t="shared" si="0"/>
        <v>46079</v>
      </c>
      <c r="I10" s="7">
        <f>SUMIF('Collection Data'!C10:C24,'Sales Data'!A10,'Collection Data'!E10:E24)</f>
        <v>250000</v>
      </c>
      <c r="J10" s="7">
        <f t="shared" si="1"/>
        <v>92000</v>
      </c>
      <c r="K10">
        <f t="shared" ca="1" si="2"/>
        <v>0</v>
      </c>
      <c r="L10" t="str">
        <f t="shared" ca="1" si="3"/>
        <v>Not Due</v>
      </c>
    </row>
    <row r="11" spans="1:12" x14ac:dyDescent="0.2">
      <c r="A11" s="2" t="s">
        <v>28</v>
      </c>
      <c r="B11" s="4">
        <v>46049</v>
      </c>
      <c r="C11" s="2" t="s">
        <v>47</v>
      </c>
      <c r="D11" s="2" t="s">
        <v>37</v>
      </c>
      <c r="E11" s="2" t="s">
        <v>41</v>
      </c>
      <c r="F11" s="6">
        <v>560000</v>
      </c>
      <c r="G11" s="2">
        <v>11</v>
      </c>
      <c r="H11" s="5">
        <f t="shared" si="0"/>
        <v>46060</v>
      </c>
      <c r="I11" s="7">
        <f>SUMIF('Collection Data'!C11:C25,'Sales Data'!A11,'Collection Data'!E11:E25)</f>
        <v>980000</v>
      </c>
      <c r="J11" s="7">
        <f t="shared" si="1"/>
        <v>-420000</v>
      </c>
      <c r="K11">
        <f t="shared" ca="1" si="2"/>
        <v>15</v>
      </c>
      <c r="L11" t="str">
        <f t="shared" ca="1" si="3"/>
        <v>0-30 Days</v>
      </c>
    </row>
    <row r="12" spans="1:12" x14ac:dyDescent="0.2">
      <c r="A12" s="2" t="s">
        <v>29</v>
      </c>
      <c r="B12" s="4">
        <v>46053</v>
      </c>
      <c r="C12" s="2" t="s">
        <v>48</v>
      </c>
      <c r="D12" s="2" t="s">
        <v>53</v>
      </c>
      <c r="E12" s="2" t="s">
        <v>42</v>
      </c>
      <c r="F12" s="6">
        <v>342000</v>
      </c>
      <c r="G12" s="2">
        <v>21</v>
      </c>
      <c r="H12" s="5">
        <f t="shared" si="0"/>
        <v>46074</v>
      </c>
      <c r="I12" s="6">
        <v>82000</v>
      </c>
      <c r="J12" s="7">
        <f t="shared" si="1"/>
        <v>260000</v>
      </c>
      <c r="K12">
        <f t="shared" ca="1" si="2"/>
        <v>1</v>
      </c>
      <c r="L12" t="str">
        <f t="shared" ca="1" si="3"/>
        <v>0-30 Days</v>
      </c>
    </row>
    <row r="13" spans="1:12" x14ac:dyDescent="0.2">
      <c r="A13" s="2" t="s">
        <v>30</v>
      </c>
      <c r="B13" s="4">
        <v>46058</v>
      </c>
      <c r="C13" s="2" t="s">
        <v>49</v>
      </c>
      <c r="D13" s="2" t="s">
        <v>54</v>
      </c>
      <c r="E13" s="2" t="s">
        <v>40</v>
      </c>
      <c r="F13" s="6">
        <v>453000</v>
      </c>
      <c r="G13" s="2">
        <v>42</v>
      </c>
      <c r="H13" s="5">
        <f t="shared" si="0"/>
        <v>46100</v>
      </c>
      <c r="I13" s="6">
        <v>27000</v>
      </c>
      <c r="J13" s="7">
        <f t="shared" si="1"/>
        <v>426000</v>
      </c>
      <c r="K13">
        <f t="shared" ca="1" si="2"/>
        <v>0</v>
      </c>
      <c r="L13" t="str">
        <f t="shared" ca="1" si="3"/>
        <v>Not Due</v>
      </c>
    </row>
    <row r="14" spans="1:12" x14ac:dyDescent="0.2">
      <c r="A14" s="2" t="s">
        <v>31</v>
      </c>
      <c r="B14" s="4">
        <v>46065</v>
      </c>
      <c r="C14" s="2" t="s">
        <v>50</v>
      </c>
      <c r="D14" s="2" t="s">
        <v>55</v>
      </c>
      <c r="E14" s="2" t="s">
        <v>38</v>
      </c>
      <c r="F14" s="6">
        <v>753000</v>
      </c>
      <c r="G14" s="2">
        <v>35</v>
      </c>
      <c r="H14" s="5">
        <f t="shared" si="0"/>
        <v>46100</v>
      </c>
      <c r="I14" s="6">
        <v>980000</v>
      </c>
      <c r="J14" s="7">
        <f t="shared" si="1"/>
        <v>-227000</v>
      </c>
      <c r="K14">
        <f t="shared" ca="1" si="2"/>
        <v>0</v>
      </c>
      <c r="L14" t="str">
        <f t="shared" ca="1" si="3"/>
        <v>Not Due</v>
      </c>
    </row>
    <row r="15" spans="1:12" x14ac:dyDescent="0.2">
      <c r="A15" s="2" t="s">
        <v>32</v>
      </c>
      <c r="B15" s="4">
        <v>46070</v>
      </c>
      <c r="C15" s="2" t="s">
        <v>51</v>
      </c>
      <c r="D15" s="2" t="s">
        <v>56</v>
      </c>
      <c r="E15" s="2" t="s">
        <v>42</v>
      </c>
      <c r="F15" s="6">
        <v>563000</v>
      </c>
      <c r="G15" s="2">
        <v>15</v>
      </c>
      <c r="H15" s="5">
        <f t="shared" si="0"/>
        <v>46085</v>
      </c>
      <c r="I15" s="7">
        <f>SUMIF('Collection Data'!C15:C29,'Sales Data'!A15,'Collection Data'!E15:E29)</f>
        <v>420000</v>
      </c>
      <c r="J15" s="7">
        <f t="shared" si="1"/>
        <v>143000</v>
      </c>
      <c r="K15">
        <f t="shared" ca="1" si="2"/>
        <v>0</v>
      </c>
      <c r="L15" t="str">
        <f t="shared" ca="1" si="3"/>
        <v>Not Due</v>
      </c>
    </row>
    <row r="16" spans="1:12" x14ac:dyDescent="0.2">
      <c r="A16" s="2" t="s">
        <v>33</v>
      </c>
      <c r="B16" s="4">
        <v>46076</v>
      </c>
      <c r="C16" s="2" t="s">
        <v>52</v>
      </c>
      <c r="D16" s="2" t="s">
        <v>57</v>
      </c>
      <c r="E16" s="2" t="s">
        <v>39</v>
      </c>
      <c r="F16" s="6">
        <v>454000</v>
      </c>
      <c r="G16" s="2">
        <v>23</v>
      </c>
      <c r="H16" s="5">
        <f t="shared" si="0"/>
        <v>46099</v>
      </c>
      <c r="I16" s="6">
        <v>152000</v>
      </c>
      <c r="J16" s="7">
        <f t="shared" si="1"/>
        <v>302000</v>
      </c>
      <c r="K16">
        <f t="shared" ca="1" si="2"/>
        <v>0</v>
      </c>
      <c r="L16" t="str">
        <f t="shared" ca="1" si="3"/>
        <v>Not Due</v>
      </c>
    </row>
    <row r="17" spans="9:9" x14ac:dyDescent="0.2">
      <c r="I17" s="8">
        <f>SUM(I2:I16)</f>
        <v>3773000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G1" sqref="G1:G2"/>
    </sheetView>
  </sheetViews>
  <sheetFormatPr defaultRowHeight="14.25" x14ac:dyDescent="0.2"/>
  <cols>
    <col min="1" max="1" width="10.75" bestFit="1" customWidth="1"/>
    <col min="2" max="2" width="12.375" bestFit="1" customWidth="1"/>
    <col min="3" max="3" width="10.375" bestFit="1" customWidth="1"/>
    <col min="4" max="4" width="15.5" bestFit="1" customWidth="1"/>
    <col min="5" max="5" width="16.625" bestFit="1" customWidth="1"/>
    <col min="6" max="6" width="14" bestFit="1" customWidth="1"/>
  </cols>
  <sheetData>
    <row r="1" spans="1:7" ht="15" x14ac:dyDescent="0.2">
      <c r="A1" s="1" t="s">
        <v>58</v>
      </c>
      <c r="B1" s="1" t="s">
        <v>59</v>
      </c>
      <c r="C1" s="1" t="s">
        <v>0</v>
      </c>
      <c r="D1" s="1" t="s">
        <v>2</v>
      </c>
      <c r="E1" s="1" t="s">
        <v>60</v>
      </c>
      <c r="F1" s="1" t="s">
        <v>61</v>
      </c>
      <c r="G1" s="1"/>
    </row>
    <row r="2" spans="1:7" x14ac:dyDescent="0.2">
      <c r="A2" s="2" t="s">
        <v>62</v>
      </c>
      <c r="B2" s="5">
        <v>46042</v>
      </c>
      <c r="C2" s="2" t="s">
        <v>8</v>
      </c>
      <c r="D2" s="2" t="s">
        <v>9</v>
      </c>
      <c r="E2" s="3">
        <v>100000</v>
      </c>
      <c r="F2" s="2" t="s">
        <v>63</v>
      </c>
    </row>
    <row r="3" spans="1:7" x14ac:dyDescent="0.2">
      <c r="A3" s="2" t="s">
        <v>64</v>
      </c>
      <c r="B3" s="5">
        <v>46047</v>
      </c>
      <c r="C3" s="2" t="s">
        <v>19</v>
      </c>
      <c r="D3" s="2" t="s">
        <v>20</v>
      </c>
      <c r="E3" s="3">
        <v>95000</v>
      </c>
      <c r="F3" s="2" t="s">
        <v>65</v>
      </c>
    </row>
    <row r="4" spans="1:7" x14ac:dyDescent="0.2">
      <c r="A4" s="2" t="s">
        <v>66</v>
      </c>
      <c r="B4" s="5">
        <v>46058</v>
      </c>
      <c r="C4" s="2" t="s">
        <v>15</v>
      </c>
      <c r="D4" s="2" t="s">
        <v>16</v>
      </c>
      <c r="E4" s="3">
        <v>175000</v>
      </c>
      <c r="F4" s="2" t="s">
        <v>67</v>
      </c>
    </row>
    <row r="5" spans="1:7" x14ac:dyDescent="0.2">
      <c r="A5" s="2" t="s">
        <v>68</v>
      </c>
      <c r="B5" s="5">
        <v>46063</v>
      </c>
      <c r="C5" s="2" t="s">
        <v>8</v>
      </c>
      <c r="D5" s="2" t="s">
        <v>9</v>
      </c>
      <c r="E5" s="3">
        <v>50000</v>
      </c>
      <c r="F5" s="2" t="s">
        <v>63</v>
      </c>
    </row>
    <row r="6" spans="1:7" x14ac:dyDescent="0.2">
      <c r="A6" s="2" t="s">
        <v>69</v>
      </c>
      <c r="B6" s="5">
        <v>46073</v>
      </c>
      <c r="C6" s="2" t="s">
        <v>11</v>
      </c>
      <c r="D6" s="2" t="s">
        <v>12</v>
      </c>
      <c r="E6" s="3">
        <v>120000</v>
      </c>
      <c r="F6" s="2" t="s">
        <v>67</v>
      </c>
    </row>
    <row r="7" spans="1:7" x14ac:dyDescent="0.2">
      <c r="A7" s="2" t="s">
        <v>71</v>
      </c>
      <c r="B7" s="4">
        <v>46081</v>
      </c>
      <c r="C7" s="2" t="s">
        <v>21</v>
      </c>
      <c r="D7" s="2" t="s">
        <v>22</v>
      </c>
      <c r="E7" s="3">
        <v>67000</v>
      </c>
      <c r="F7" s="2" t="s">
        <v>63</v>
      </c>
    </row>
    <row r="8" spans="1:7" x14ac:dyDescent="0.2">
      <c r="A8" s="2" t="s">
        <v>72</v>
      </c>
      <c r="B8" s="4">
        <v>46084</v>
      </c>
      <c r="C8" s="2" t="s">
        <v>25</v>
      </c>
      <c r="D8" s="2" t="s">
        <v>43</v>
      </c>
      <c r="E8" s="3">
        <v>132000</v>
      </c>
      <c r="F8" s="2" t="s">
        <v>65</v>
      </c>
    </row>
    <row r="9" spans="1:7" x14ac:dyDescent="0.2">
      <c r="A9" s="2" t="s">
        <v>73</v>
      </c>
      <c r="B9" s="4">
        <v>46093</v>
      </c>
      <c r="C9" s="2" t="s">
        <v>23</v>
      </c>
      <c r="D9" s="2" t="s">
        <v>24</v>
      </c>
      <c r="E9" s="3">
        <v>76000</v>
      </c>
      <c r="F9" s="2" t="s">
        <v>67</v>
      </c>
    </row>
    <row r="10" spans="1:7" x14ac:dyDescent="0.2">
      <c r="A10" s="2" t="s">
        <v>74</v>
      </c>
      <c r="B10" s="4">
        <v>46100</v>
      </c>
      <c r="C10" s="2" t="s">
        <v>29</v>
      </c>
      <c r="D10" s="2" t="s">
        <v>48</v>
      </c>
      <c r="E10" s="3">
        <v>82000</v>
      </c>
      <c r="F10" s="2" t="s">
        <v>65</v>
      </c>
    </row>
    <row r="11" spans="1:7" x14ac:dyDescent="0.2">
      <c r="A11" s="2" t="s">
        <v>75</v>
      </c>
      <c r="B11" s="4">
        <v>46106</v>
      </c>
      <c r="C11" s="2" t="s">
        <v>33</v>
      </c>
      <c r="D11" s="2" t="s">
        <v>52</v>
      </c>
      <c r="E11" s="3">
        <v>152000</v>
      </c>
      <c r="F11" s="2" t="s">
        <v>70</v>
      </c>
    </row>
    <row r="12" spans="1:7" x14ac:dyDescent="0.2">
      <c r="A12" s="2" t="s">
        <v>76</v>
      </c>
      <c r="B12" s="4">
        <v>46110</v>
      </c>
      <c r="C12" s="2" t="s">
        <v>30</v>
      </c>
      <c r="D12" s="2" t="s">
        <v>49</v>
      </c>
      <c r="E12" s="3">
        <v>27000</v>
      </c>
      <c r="F12" s="2" t="s">
        <v>63</v>
      </c>
    </row>
    <row r="13" spans="1:7" x14ac:dyDescent="0.2">
      <c r="A13" s="2" t="s">
        <v>77</v>
      </c>
      <c r="B13" s="4">
        <v>46115</v>
      </c>
      <c r="C13" s="2" t="s">
        <v>26</v>
      </c>
      <c r="D13" s="2" t="s">
        <v>44</v>
      </c>
      <c r="E13" s="3">
        <v>67000</v>
      </c>
      <c r="F13" s="2" t="s">
        <v>65</v>
      </c>
    </row>
    <row r="14" spans="1:7" x14ac:dyDescent="0.2">
      <c r="A14" s="2" t="s">
        <v>78</v>
      </c>
      <c r="B14" s="4">
        <v>46121</v>
      </c>
      <c r="C14" s="2" t="s">
        <v>28</v>
      </c>
      <c r="D14" s="2" t="s">
        <v>47</v>
      </c>
      <c r="E14" s="3">
        <v>980000</v>
      </c>
      <c r="F14" s="2" t="s">
        <v>67</v>
      </c>
    </row>
    <row r="15" spans="1:7" x14ac:dyDescent="0.2">
      <c r="A15" s="2" t="s">
        <v>79</v>
      </c>
      <c r="B15" s="4">
        <v>46127</v>
      </c>
      <c r="C15" s="2" t="s">
        <v>27</v>
      </c>
      <c r="D15" s="2" t="s">
        <v>46</v>
      </c>
      <c r="E15" s="3">
        <v>250000</v>
      </c>
      <c r="F15" s="2" t="s">
        <v>63</v>
      </c>
    </row>
    <row r="16" spans="1:7" x14ac:dyDescent="0.2">
      <c r="A16" s="2" t="s">
        <v>80</v>
      </c>
      <c r="B16" s="4">
        <v>46131</v>
      </c>
      <c r="C16" s="2" t="s">
        <v>32</v>
      </c>
      <c r="D16" s="2" t="s">
        <v>51</v>
      </c>
      <c r="E16" s="3">
        <v>420000</v>
      </c>
      <c r="F16" s="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>
      <selection activeCell="E8" sqref="E8"/>
    </sheetView>
  </sheetViews>
  <sheetFormatPr defaultRowHeight="14.25" x14ac:dyDescent="0.2"/>
  <cols>
    <col min="1" max="1" width="29.125" bestFit="1" customWidth="1"/>
    <col min="2" max="2" width="20.25" customWidth="1"/>
    <col min="3" max="3" width="16.875" bestFit="1" customWidth="1"/>
  </cols>
  <sheetData>
    <row r="1" spans="1:3" ht="20.25" customHeight="1" x14ac:dyDescent="0.3">
      <c r="A1" s="16" t="s">
        <v>98</v>
      </c>
      <c r="B1" s="16"/>
    </row>
    <row r="2" spans="1:3" x14ac:dyDescent="0.2">
      <c r="A2" t="s">
        <v>99</v>
      </c>
    </row>
    <row r="5" spans="1:3" ht="15" x14ac:dyDescent="0.2">
      <c r="A5" s="12" t="s">
        <v>88</v>
      </c>
      <c r="B5" s="12" t="s">
        <v>89</v>
      </c>
    </row>
    <row r="6" spans="1:3" x14ac:dyDescent="0.2">
      <c r="A6" s="13" t="s">
        <v>81</v>
      </c>
      <c r="B6" s="14">
        <f>SUM('Sales Data'!F2:F16)</f>
        <v>5413000</v>
      </c>
    </row>
    <row r="7" spans="1:3" x14ac:dyDescent="0.2">
      <c r="A7" s="13" t="s">
        <v>82</v>
      </c>
      <c r="B7" s="14">
        <f>SUM('Collection Data'!E2:E16)</f>
        <v>2793000</v>
      </c>
    </row>
    <row r="8" spans="1:3" x14ac:dyDescent="0.2">
      <c r="A8" s="13" t="s">
        <v>83</v>
      </c>
      <c r="B8" s="14">
        <f>B6-B7</f>
        <v>2620000</v>
      </c>
    </row>
    <row r="9" spans="1:3" x14ac:dyDescent="0.2">
      <c r="A9" s="13" t="s">
        <v>84</v>
      </c>
      <c r="B9" s="15">
        <f>B7/B6</f>
        <v>0.51598004803251429</v>
      </c>
    </row>
    <row r="10" spans="1:3" x14ac:dyDescent="0.2">
      <c r="A10" s="13" t="s">
        <v>95</v>
      </c>
      <c r="B10" s="13" t="s">
        <v>39</v>
      </c>
    </row>
    <row r="11" spans="1:3" x14ac:dyDescent="0.2">
      <c r="A11" s="13" t="s">
        <v>94</v>
      </c>
      <c r="B11" s="13" t="s">
        <v>54</v>
      </c>
    </row>
    <row r="14" spans="1:3" ht="15" x14ac:dyDescent="0.25">
      <c r="A14" s="11" t="s">
        <v>96</v>
      </c>
    </row>
    <row r="15" spans="1:3" x14ac:dyDescent="0.2">
      <c r="A15" s="9" t="s">
        <v>93</v>
      </c>
      <c r="B15" t="s">
        <v>91</v>
      </c>
      <c r="C15" t="s">
        <v>92</v>
      </c>
    </row>
    <row r="16" spans="1:3" x14ac:dyDescent="0.2">
      <c r="A16" s="10" t="s">
        <v>54</v>
      </c>
      <c r="B16" s="7">
        <v>453000</v>
      </c>
      <c r="C16" s="7">
        <v>426000</v>
      </c>
    </row>
    <row r="17" spans="1:3" x14ac:dyDescent="0.2">
      <c r="A17" s="10" t="s">
        <v>35</v>
      </c>
      <c r="B17" s="7">
        <v>436000</v>
      </c>
      <c r="C17" s="7">
        <v>369000</v>
      </c>
    </row>
    <row r="18" spans="1:3" x14ac:dyDescent="0.2">
      <c r="A18" s="10" t="s">
        <v>13</v>
      </c>
      <c r="B18" s="7">
        <v>520000</v>
      </c>
      <c r="C18" s="7">
        <v>333000</v>
      </c>
    </row>
    <row r="19" spans="1:3" x14ac:dyDescent="0.2">
      <c r="A19" s="10" t="s">
        <v>57</v>
      </c>
      <c r="B19" s="7">
        <v>454000</v>
      </c>
      <c r="C19" s="7">
        <v>302000</v>
      </c>
    </row>
    <row r="20" spans="1:3" x14ac:dyDescent="0.2">
      <c r="A20" s="10" t="s">
        <v>53</v>
      </c>
      <c r="B20" s="7">
        <v>342000</v>
      </c>
      <c r="C20" s="7">
        <v>260000</v>
      </c>
    </row>
    <row r="21" spans="1:3" x14ac:dyDescent="0.2">
      <c r="A21" s="10" t="s">
        <v>34</v>
      </c>
      <c r="B21" s="7">
        <v>345000</v>
      </c>
      <c r="C21" s="7">
        <v>213000</v>
      </c>
    </row>
    <row r="22" spans="1:3" x14ac:dyDescent="0.2">
      <c r="A22" s="10" t="s">
        <v>56</v>
      </c>
      <c r="B22" s="7">
        <v>563000</v>
      </c>
      <c r="C22" s="7">
        <v>143000</v>
      </c>
    </row>
    <row r="23" spans="1:3" x14ac:dyDescent="0.2">
      <c r="A23" s="10" t="s">
        <v>10</v>
      </c>
      <c r="B23" s="7">
        <v>345000</v>
      </c>
      <c r="C23" s="7">
        <v>100000</v>
      </c>
    </row>
    <row r="24" spans="1:3" x14ac:dyDescent="0.2">
      <c r="A24" s="10" t="s">
        <v>36</v>
      </c>
      <c r="B24" s="7">
        <v>342000</v>
      </c>
      <c r="C24" s="7">
        <v>92000</v>
      </c>
    </row>
    <row r="25" spans="1:3" x14ac:dyDescent="0.2">
      <c r="A25" s="10" t="s">
        <v>17</v>
      </c>
      <c r="B25" s="7">
        <v>300000</v>
      </c>
      <c r="C25" s="7">
        <v>49000</v>
      </c>
    </row>
    <row r="26" spans="1:3" x14ac:dyDescent="0.2">
      <c r="A26" s="10" t="s">
        <v>55</v>
      </c>
      <c r="B26" s="7">
        <v>753000</v>
      </c>
      <c r="C26" s="7">
        <v>-227000</v>
      </c>
    </row>
    <row r="27" spans="1:3" x14ac:dyDescent="0.2">
      <c r="A27" s="10" t="s">
        <v>37</v>
      </c>
      <c r="B27" s="7">
        <v>560000</v>
      </c>
      <c r="C27" s="7">
        <v>-420000</v>
      </c>
    </row>
    <row r="28" spans="1:3" x14ac:dyDescent="0.2">
      <c r="A28" s="10" t="s">
        <v>90</v>
      </c>
      <c r="B28" s="7">
        <v>5413000</v>
      </c>
      <c r="C28" s="7">
        <v>1640000</v>
      </c>
    </row>
    <row r="30" spans="1:3" ht="15" x14ac:dyDescent="0.25">
      <c r="A30" s="11" t="s">
        <v>97</v>
      </c>
    </row>
    <row r="31" spans="1:3" x14ac:dyDescent="0.2">
      <c r="A31" s="9" t="s">
        <v>93</v>
      </c>
      <c r="B31" t="s">
        <v>91</v>
      </c>
      <c r="C31" t="s">
        <v>92</v>
      </c>
    </row>
    <row r="32" spans="1:3" x14ac:dyDescent="0.2">
      <c r="A32" s="10" t="s">
        <v>39</v>
      </c>
      <c r="B32" s="7">
        <v>1040000</v>
      </c>
      <c r="C32" s="7">
        <v>671000</v>
      </c>
    </row>
    <row r="33" spans="1:3" x14ac:dyDescent="0.2">
      <c r="A33" s="10" t="s">
        <v>40</v>
      </c>
      <c r="B33" s="7">
        <v>795000</v>
      </c>
      <c r="C33" s="7">
        <v>518000</v>
      </c>
    </row>
    <row r="34" spans="1:3" x14ac:dyDescent="0.2">
      <c r="A34" s="10" t="s">
        <v>42</v>
      </c>
      <c r="B34" s="7">
        <v>905000</v>
      </c>
      <c r="C34" s="7">
        <v>403000</v>
      </c>
    </row>
    <row r="35" spans="1:3" x14ac:dyDescent="0.2">
      <c r="A35" s="10" t="s">
        <v>14</v>
      </c>
      <c r="B35" s="7">
        <v>520000</v>
      </c>
      <c r="C35" s="7">
        <v>333000</v>
      </c>
    </row>
    <row r="36" spans="1:3" x14ac:dyDescent="0.2">
      <c r="A36" s="10" t="s">
        <v>38</v>
      </c>
      <c r="B36" s="7">
        <v>1293000</v>
      </c>
      <c r="C36" s="7">
        <v>86000</v>
      </c>
    </row>
    <row r="37" spans="1:3" x14ac:dyDescent="0.2">
      <c r="A37" s="10" t="s">
        <v>18</v>
      </c>
      <c r="B37" s="7">
        <v>300000</v>
      </c>
      <c r="C37" s="7">
        <v>49000</v>
      </c>
    </row>
    <row r="38" spans="1:3" x14ac:dyDescent="0.2">
      <c r="A38" s="10" t="s">
        <v>41</v>
      </c>
      <c r="B38" s="7">
        <v>560000</v>
      </c>
      <c r="C38" s="7">
        <v>-420000</v>
      </c>
    </row>
    <row r="39" spans="1:3" x14ac:dyDescent="0.2">
      <c r="A39" s="10" t="s">
        <v>90</v>
      </c>
      <c r="B39" s="7">
        <v>5413000</v>
      </c>
      <c r="C39" s="7">
        <v>1640000</v>
      </c>
    </row>
  </sheetData>
  <mergeCells count="1">
    <mergeCell ref="A1:B1"/>
  </mergeCell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Sales Data</vt:lpstr>
      <vt:lpstr>Collection Data</vt:lpstr>
      <vt:lpstr>Collection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2026-02-22T16:11:35Z</dcterms:created>
  <dcterms:modified xsi:type="dcterms:W3CDTF">2026-02-22T17:44:06Z</dcterms:modified>
</cp:coreProperties>
</file>