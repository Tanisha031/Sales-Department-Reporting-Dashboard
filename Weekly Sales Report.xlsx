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E:\Desktop\"/>
    </mc:Choice>
  </mc:AlternateContent>
  <bookViews>
    <workbookView xWindow="0" yWindow="0" windowWidth="20490" windowHeight="7095" activeTab="4"/>
  </bookViews>
  <sheets>
    <sheet name="Data" sheetId="1" r:id="rId1"/>
    <sheet name="SALEPERSON" sheetId="4" r:id="rId2"/>
    <sheet name="REGION" sheetId="7" r:id="rId3"/>
    <sheet name="PRODUCT" sheetId="8" r:id="rId4"/>
    <sheet name="Weekly Sales Report" sheetId="9" r:id="rId5"/>
  </sheets>
  <definedNames>
    <definedName name="Slicer_Product">#N/A</definedName>
    <definedName name="Slicer_Region">#N/A</definedName>
    <definedName name="Slicer_Salesperson">#N/A</definedName>
  </definedNames>
  <calcPr calcId="162913"/>
  <pivotCaches>
    <pivotCache cacheId="2" r:id="rId6"/>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9" l="1"/>
  <c r="B10" i="9"/>
  <c r="H62" i="1" l="1"/>
  <c r="F62" i="1"/>
  <c r="B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<sst xmlns="http://schemas.openxmlformats.org/spreadsheetml/2006/main" count="313" uniqueCount="129">
  <si>
    <t>Invoice No</t>
  </si>
  <si>
    <t>Salesperson</t>
  </si>
  <si>
    <t>Region</t>
  </si>
  <si>
    <t>Quantity</t>
  </si>
  <si>
    <t>Unit Price</t>
  </si>
  <si>
    <t>Total Sales</t>
  </si>
  <si>
    <t>INV1001</t>
  </si>
  <si>
    <t>Ali Khan</t>
  </si>
  <si>
    <t>North</t>
  </si>
  <si>
    <t>LED TV 42"</t>
  </si>
  <si>
    <t>INV1002</t>
  </si>
  <si>
    <t>Sara Malik</t>
  </si>
  <si>
    <t>South</t>
  </si>
  <si>
    <t>Refrigerator 260L</t>
  </si>
  <si>
    <t>INV1003</t>
  </si>
  <si>
    <t>Ahmed Raza</t>
  </si>
  <si>
    <t>East</t>
  </si>
  <si>
    <t>Washing Machine 7kg</t>
  </si>
  <si>
    <t>INV1004</t>
  </si>
  <si>
    <t>Bilal Sheikh</t>
  </si>
  <si>
    <t>West</t>
  </si>
  <si>
    <t>Air Conditioner 1.5 Ton</t>
  </si>
  <si>
    <t>INV1005</t>
  </si>
  <si>
    <t>Hina Qureshi</t>
  </si>
  <si>
    <t>Microwave Oven</t>
  </si>
  <si>
    <t>INV1006</t>
  </si>
  <si>
    <t>Danish Iqbal</t>
  </si>
  <si>
    <t>Laptop i5</t>
  </si>
  <si>
    <t>INV1007</t>
  </si>
  <si>
    <t>Zain Ali</t>
  </si>
  <si>
    <t>Smartphone 128GB</t>
  </si>
  <si>
    <t>INV1008</t>
  </si>
  <si>
    <t>Fatima Noor</t>
  </si>
  <si>
    <t>Deep Freezer</t>
  </si>
  <si>
    <t>INV1009</t>
  </si>
  <si>
    <t>Usman Tariq</t>
  </si>
  <si>
    <t>LED TV 50"</t>
  </si>
  <si>
    <t>INV1010</t>
  </si>
  <si>
    <t>Sana Javed</t>
  </si>
  <si>
    <t>Air Conditioner 1 Ton</t>
  </si>
  <si>
    <t>INV1011</t>
  </si>
  <si>
    <t>Laptop i7</t>
  </si>
  <si>
    <t>INV1012</t>
  </si>
  <si>
    <t>Washing Machine 9kg</t>
  </si>
  <si>
    <t>INV1013</t>
  </si>
  <si>
    <t>Smartphone 256GB</t>
  </si>
  <si>
    <t>INV1014</t>
  </si>
  <si>
    <t>Refrigerator 300L</t>
  </si>
  <si>
    <t>INV1015</t>
  </si>
  <si>
    <t>INV1016</t>
  </si>
  <si>
    <t>INV1017</t>
  </si>
  <si>
    <t>INV1018</t>
  </si>
  <si>
    <t>INV1019</t>
  </si>
  <si>
    <t>INV1020</t>
  </si>
  <si>
    <t>INV1021</t>
  </si>
  <si>
    <t>INV1022</t>
  </si>
  <si>
    <t>INV1023</t>
  </si>
  <si>
    <t>INV1024</t>
  </si>
  <si>
    <t>INV1025</t>
  </si>
  <si>
    <t>INV1026</t>
  </si>
  <si>
    <t>INV1027</t>
  </si>
  <si>
    <t>INV1028</t>
  </si>
  <si>
    <t>INV1029</t>
  </si>
  <si>
    <t>INV1030</t>
  </si>
  <si>
    <t>Date</t>
  </si>
  <si>
    <t>Product</t>
  </si>
  <si>
    <t>INV1031</t>
  </si>
  <si>
    <t>INV1032</t>
  </si>
  <si>
    <t>INV1033</t>
  </si>
  <si>
    <t>INV1034</t>
  </si>
  <si>
    <t>INV1035</t>
  </si>
  <si>
    <t>INV1036</t>
  </si>
  <si>
    <t>INV1037</t>
  </si>
  <si>
    <t>INV1038</t>
  </si>
  <si>
    <t>INV1039</t>
  </si>
  <si>
    <t>INV1040</t>
  </si>
  <si>
    <t>INV1041</t>
  </si>
  <si>
    <t>INV1042</t>
  </si>
  <si>
    <t>INV1043</t>
  </si>
  <si>
    <t>INV1044</t>
  </si>
  <si>
    <t>INV1045</t>
  </si>
  <si>
    <t>INV1046</t>
  </si>
  <si>
    <t>INV1047</t>
  </si>
  <si>
    <t>INV1048</t>
  </si>
  <si>
    <t>INV1049</t>
  </si>
  <si>
    <t>INV1050</t>
  </si>
  <si>
    <t>INV1051</t>
  </si>
  <si>
    <t>INV1052</t>
  </si>
  <si>
    <t>INV1053</t>
  </si>
  <si>
    <t>INV1054</t>
  </si>
  <si>
    <t>INV1055</t>
  </si>
  <si>
    <t>INV1056</t>
  </si>
  <si>
    <t>INV1057</t>
  </si>
  <si>
    <t>INV1058</t>
  </si>
  <si>
    <t>INV1059</t>
  </si>
  <si>
    <t>INV1060</t>
  </si>
  <si>
    <t>Total Quantity</t>
  </si>
  <si>
    <t>Grand Total</t>
  </si>
  <si>
    <t>Sum of Quantity</t>
  </si>
  <si>
    <t>Total Amount</t>
  </si>
  <si>
    <t>Salespersons</t>
  </si>
  <si>
    <t>Contribution %</t>
  </si>
  <si>
    <t>Sales Contribution %</t>
  </si>
  <si>
    <t>Regions</t>
  </si>
  <si>
    <t>Clothing</t>
  </si>
  <si>
    <t>Accessories</t>
  </si>
  <si>
    <t>Electronics</t>
  </si>
  <si>
    <t>Furniture</t>
  </si>
  <si>
    <t>Categories</t>
  </si>
  <si>
    <t>Section 4 - Product Analysis</t>
  </si>
  <si>
    <t>W3</t>
  </si>
  <si>
    <t>W2</t>
  </si>
  <si>
    <t>W1</t>
  </si>
  <si>
    <t>Week-Wise</t>
  </si>
  <si>
    <t>Section 3 - Region Analysis</t>
  </si>
  <si>
    <t>Ahmed</t>
  </si>
  <si>
    <t>Sara</t>
  </si>
  <si>
    <t>Ali</t>
  </si>
  <si>
    <t xml:space="preserve">Sales Contribution </t>
  </si>
  <si>
    <t>Section 2 - Salesperson Analysis</t>
  </si>
  <si>
    <t>Highest Sales Day</t>
  </si>
  <si>
    <t>Lowest Sales Day</t>
  </si>
  <si>
    <t>Average Sale per Invoice</t>
  </si>
  <si>
    <t>Total Invoices</t>
  </si>
  <si>
    <t>Value</t>
  </si>
  <si>
    <t>KPI</t>
  </si>
  <si>
    <t>Section 1 - Summary</t>
  </si>
  <si>
    <t>Week: 1 Feb – 10 Feb 2026</t>
  </si>
  <si>
    <t>WEEKLY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</si>
</sst>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quot;$&quot;* #,##0_);_(&quot;$&quot;* \(#,##0\);_(&quot;$&quot;* &quot;-&quot;??_);_(@_)"/>
  </numFmts>
  <fonts count="5" x14ac:knownFonts="1">
    <font>
      <sz val="11"/>
      <color theme="1"/>
      <name val="Arial"/>
      <family val="2"/>
      <scheme val="minor"/>
    </font>
    <font>
      <sz val="11"/>
      <color theme="1"/>
      <name val="Arial"/>
      <family val="2"/>
      <scheme val="minor"/>
    </font>
    <font>
      <b/>
      <sz val="11"/>
      <color theme="1"/>
      <name val="Arial"/>
      <family val="2"/>
      <scheme val="minor"/>
    </font>
    <font>
      <b/>
      <sz val="12"/>
      <color theme="1"/>
      <name val="Arial"/>
      <family val="2"/>
      <scheme val="minor"/>
    </font>
    <font>
      <b/>
      <sz val="18"/>
      <color theme="1"/>
      <name val="Arial"/>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9">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64" fontId="0" fillId="0" borderId="0" xfId="1" applyNumberFormat="1" applyFont="1" applyAlignment="1">
      <alignment vertical="center" wrapText="1"/>
    </xf>
    <xf numFmtId="164" fontId="1" fillId="0" borderId="0" xfId="0" applyNumberFormat="1" applyFont="1" applyAlignment="1">
      <alignment vertical="center" wrapText="1"/>
    </xf>
    <xf numFmtId="0"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9" fontId="0" fillId="0" borderId="0" xfId="2" applyFont="1" applyAlignment="1">
      <alignment vertical="center" wrapText="1"/>
    </xf>
    <xf numFmtId="9" fontId="0" fillId="0" borderId="0" xfId="0" applyNumberFormat="1"/>
    <xf numFmtId="0" fontId="0" fillId="2" borderId="0" xfId="0" applyNumberFormat="1" applyFill="1"/>
    <xf numFmtId="164" fontId="0" fillId="2" borderId="0" xfId="0" applyNumberFormat="1" applyFill="1"/>
    <xf numFmtId="0" fontId="0" fillId="2" borderId="0" xfId="0" applyFill="1" applyAlignment="1">
      <alignment horizontal="left"/>
    </xf>
    <xf numFmtId="0" fontId="0" fillId="2" borderId="0" xfId="0" applyFill="1"/>
    <xf numFmtId="0" fontId="0" fillId="3" borderId="0" xfId="0" applyFill="1"/>
    <xf numFmtId="0" fontId="3" fillId="3" borderId="0" xfId="0" applyFont="1" applyFill="1"/>
    <xf numFmtId="9" fontId="0" fillId="2" borderId="0" xfId="0" applyNumberFormat="1" applyFill="1"/>
    <xf numFmtId="14" fontId="0" fillId="0" borderId="1" xfId="0" applyNumberFormat="1" applyFont="1" applyBorder="1" applyAlignment="1">
      <alignment vertical="center" wrapText="1"/>
    </xf>
    <xf numFmtId="0" fontId="0" fillId="0" borderId="1" xfId="0" applyBorder="1"/>
    <xf numFmtId="14" fontId="0" fillId="0" borderId="1" xfId="0" applyNumberFormat="1" applyBorder="1"/>
    <xf numFmtId="1" fontId="0" fillId="0" borderId="1" xfId="0" applyNumberFormat="1" applyBorder="1"/>
    <xf numFmtId="164" fontId="0" fillId="0" borderId="1" xfId="1" applyNumberFormat="1" applyFont="1" applyBorder="1"/>
    <xf numFmtId="0" fontId="2" fillId="0" borderId="1" xfId="0" applyFont="1" applyBorder="1" applyAlignment="1">
      <alignment horizontal="center"/>
    </xf>
    <xf numFmtId="0" fontId="3" fillId="0" borderId="0" xfId="0" applyFont="1"/>
    <xf numFmtId="0" fontId="0" fillId="0" borderId="0" xfId="0" applyFont="1"/>
    <xf numFmtId="0" fontId="4" fillId="2" borderId="0" xfId="0" applyFont="1" applyFill="1"/>
  </cellXfs>
  <cellStyles count="3">
    <cellStyle name="Currency" xfId="1" builtinId="4"/>
    <cellStyle name="Normal" xfId="0" builtinId="0"/>
    <cellStyle name="Percent" xfId="2" builtinId="5"/>
  </cellStyles>
  <dxfs count="67">
    <dxf>
      <numFmt numFmtId="34" formatCode="_(&quot;$&quot;* #,##0.00_);_(&quot;$&quot;* \(#,##0.00\);_(&quot;$&quot;* &quot;-&quot;??_);_(@_)"/>
    </dxf>
    <dxf>
      <numFmt numFmtId="165" formatCode="_(&quot;$&quot;* #,##0.0_);_(&quot;$&quot;* \(#,##0.0\);_(&quot;$&quot;* &quot;-&quot;??_);_(@_)"/>
    </dxf>
    <dxf>
      <numFmt numFmtId="164"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numFmt numFmtId="13" formatCode="0%"/>
    </dxf>
    <dxf>
      <numFmt numFmtId="13" formatCode="0%"/>
    </dxf>
    <dxf>
      <numFmt numFmtId="2" formatCode="0.00"/>
    </dxf>
    <dxf>
      <numFmt numFmtId="13" formatCode="0%"/>
    </dxf>
    <dxf>
      <numFmt numFmtId="34" formatCode="_(&quot;$&quot;* #,##0.00_);_(&quot;$&quot;* \(#,##0.00\);_(&quot;$&quot;* &quot;-&quot;??_);_(@_)"/>
    </dxf>
    <dxf>
      <numFmt numFmtId="165" formatCode="_(&quot;$&quot;* #,##0.0_);_(&quot;$&quot;* \(#,##0.0\);_(&quot;$&quot;* &quot;-&quot;??_);_(@_)"/>
    </dxf>
    <dxf>
      <numFmt numFmtId="164"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4" formatCode="_(&quot;$&quot;* #,##0_);_(&quot;$&quot;* \(#,##0\);_(&quot;$&quot;* &quot;-&quot;??_);_(@_)"/>
    </dxf>
    <dxf>
      <numFmt numFmtId="165" formatCode="_(&quot;$&quot;* #,##0.0_);_(&quot;$&quot;* \(#,##0.0\);_(&quot;$&quot;* &quot;-&quot;??_);_(@_)"/>
    </dxf>
    <dxf>
      <numFmt numFmtId="34" formatCode="_(&quot;$&quot;* #,##0.00_);_(&quot;$&quot;* \(#,##0.00\);_(&quot;$&quot;* &quot;-&quot;??_);_(@_)"/>
    </dxf>
    <dxf>
      <numFmt numFmtId="13" formatCode="0%"/>
    </dxf>
    <dxf>
      <numFmt numFmtId="13" formatCode="0%"/>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rial"/>
        <scheme val="minor"/>
      </font>
      <numFmt numFmtId="164" formatCode="_(&quot;$&quot;* #,##0_);_(&quot;$&quot;* \(#,##0\);_(&quot;$&quot;* &quot;-&quot;??_);_(@_)"/>
      <alignment horizontal="general" vertical="center" textRotation="0" wrapText="1" indent="0" justifyLastLine="0" shrinkToFit="0" readingOrder="0"/>
    </dxf>
    <dxf>
      <numFmt numFmtId="164" formatCode="_(&quot;$&quot;* #,##0_);_(&quot;$&quot;* \(#,##0\);_(&quot;$&quot;* &quot;-&quot;??_);_(@_)"/>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Sales Report.xlsx]SALEPERSON!PivotTable11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SALEPERSON!$B$3</c:f>
              <c:strCache>
                <c:ptCount val="1"/>
                <c:pt idx="0">
                  <c:v>Sum of Quantity</c:v>
                </c:pt>
              </c:strCache>
            </c:strRef>
          </c:tx>
          <c:spPr>
            <a:solidFill>
              <a:schemeClr val="accent1"/>
            </a:solidFill>
            <a:ln>
              <a:noFill/>
            </a:ln>
            <a:effectLst/>
          </c:spPr>
          <c:invertIfNegative val="0"/>
          <c:cat>
            <c:strRef>
              <c:f>SALEPERSON!$A$4:$A$14</c:f>
              <c:strCache>
                <c:ptCount val="10"/>
                <c:pt idx="0">
                  <c:v>Sana Javed</c:v>
                </c:pt>
                <c:pt idx="1">
                  <c:v>Danish Iqbal</c:v>
                </c:pt>
                <c:pt idx="2">
                  <c:v>Sara Malik</c:v>
                </c:pt>
                <c:pt idx="3">
                  <c:v>Ahmed Raza</c:v>
                </c:pt>
                <c:pt idx="4">
                  <c:v>Zain Ali</c:v>
                </c:pt>
                <c:pt idx="5">
                  <c:v>Usman Tariq</c:v>
                </c:pt>
                <c:pt idx="6">
                  <c:v>Hina Qureshi</c:v>
                </c:pt>
                <c:pt idx="7">
                  <c:v>Ali Khan</c:v>
                </c:pt>
                <c:pt idx="8">
                  <c:v>Fatima Noor</c:v>
                </c:pt>
                <c:pt idx="9">
                  <c:v>Bilal Sheikh</c:v>
                </c:pt>
              </c:strCache>
            </c:strRef>
          </c:cat>
          <c:val>
            <c:numRef>
              <c:f>SALEPERSON!$B$4:$B$14</c:f>
              <c:numCache>
                <c:formatCode>General</c:formatCode>
                <c:ptCount val="10"/>
                <c:pt idx="0">
                  <c:v>22</c:v>
                </c:pt>
                <c:pt idx="1">
                  <c:v>27</c:v>
                </c:pt>
                <c:pt idx="2">
                  <c:v>24</c:v>
                </c:pt>
                <c:pt idx="3">
                  <c:v>21</c:v>
                </c:pt>
                <c:pt idx="4">
                  <c:v>19</c:v>
                </c:pt>
                <c:pt idx="5">
                  <c:v>11</c:v>
                </c:pt>
                <c:pt idx="6">
                  <c:v>24</c:v>
                </c:pt>
                <c:pt idx="7">
                  <c:v>20</c:v>
                </c:pt>
                <c:pt idx="8">
                  <c:v>25</c:v>
                </c:pt>
                <c:pt idx="9">
                  <c:v>14</c:v>
                </c:pt>
              </c:numCache>
            </c:numRef>
          </c:val>
          <c:extLst>
            <c:ext xmlns:c16="http://schemas.microsoft.com/office/drawing/2014/chart" uri="{C3380CC4-5D6E-409C-BE32-E72D297353CC}">
              <c16:uniqueId val="{00000000-C716-4C2E-AB86-21E9B56DB316}"/>
            </c:ext>
          </c:extLst>
        </c:ser>
        <c:ser>
          <c:idx val="1"/>
          <c:order val="1"/>
          <c:tx>
            <c:strRef>
              <c:f>SALEPERSON!$C$3</c:f>
              <c:strCache>
                <c:ptCount val="1"/>
                <c:pt idx="0">
                  <c:v>Total Sales</c:v>
                </c:pt>
              </c:strCache>
            </c:strRef>
          </c:tx>
          <c:spPr>
            <a:solidFill>
              <a:schemeClr val="accent2"/>
            </a:solidFill>
            <a:ln>
              <a:noFill/>
            </a:ln>
            <a:effectLst/>
          </c:spPr>
          <c:invertIfNegative val="0"/>
          <c:cat>
            <c:strRef>
              <c:f>SALEPERSON!$A$4:$A$14</c:f>
              <c:strCache>
                <c:ptCount val="10"/>
                <c:pt idx="0">
                  <c:v>Sana Javed</c:v>
                </c:pt>
                <c:pt idx="1">
                  <c:v>Danish Iqbal</c:v>
                </c:pt>
                <c:pt idx="2">
                  <c:v>Sara Malik</c:v>
                </c:pt>
                <c:pt idx="3">
                  <c:v>Ahmed Raza</c:v>
                </c:pt>
                <c:pt idx="4">
                  <c:v>Zain Ali</c:v>
                </c:pt>
                <c:pt idx="5">
                  <c:v>Usman Tariq</c:v>
                </c:pt>
                <c:pt idx="6">
                  <c:v>Hina Qureshi</c:v>
                </c:pt>
                <c:pt idx="7">
                  <c:v>Ali Khan</c:v>
                </c:pt>
                <c:pt idx="8">
                  <c:v>Fatima Noor</c:v>
                </c:pt>
                <c:pt idx="9">
                  <c:v>Bilal Sheikh</c:v>
                </c:pt>
              </c:strCache>
            </c:strRef>
          </c:cat>
          <c:val>
            <c:numRef>
              <c:f>SALEPERSON!$C$4:$C$14</c:f>
              <c:numCache>
                <c:formatCode>_("$"* #,##0_);_("$"* \(#,##0\);_("$"* "-"??_);_(@_)</c:formatCode>
                <c:ptCount val="10"/>
                <c:pt idx="0">
                  <c:v>1670000</c:v>
                </c:pt>
                <c:pt idx="1">
                  <c:v>1593000</c:v>
                </c:pt>
                <c:pt idx="2">
                  <c:v>1550000</c:v>
                </c:pt>
                <c:pt idx="3">
                  <c:v>1535000</c:v>
                </c:pt>
                <c:pt idx="4">
                  <c:v>1315000</c:v>
                </c:pt>
                <c:pt idx="5">
                  <c:v>1210000</c:v>
                </c:pt>
                <c:pt idx="6">
                  <c:v>1036000</c:v>
                </c:pt>
                <c:pt idx="7">
                  <c:v>1029000</c:v>
                </c:pt>
                <c:pt idx="8">
                  <c:v>941000</c:v>
                </c:pt>
                <c:pt idx="9">
                  <c:v>902000</c:v>
                </c:pt>
              </c:numCache>
            </c:numRef>
          </c:val>
          <c:extLst>
            <c:ext xmlns:c16="http://schemas.microsoft.com/office/drawing/2014/chart" uri="{C3380CC4-5D6E-409C-BE32-E72D297353CC}">
              <c16:uniqueId val="{00000001-C716-4C2E-AB86-21E9B56DB316}"/>
            </c:ext>
          </c:extLst>
        </c:ser>
        <c:dLbls>
          <c:showLegendKey val="0"/>
          <c:showVal val="0"/>
          <c:showCatName val="0"/>
          <c:showSerName val="0"/>
          <c:showPercent val="0"/>
          <c:showBubbleSize val="0"/>
        </c:dLbls>
        <c:gapWidth val="219"/>
        <c:overlap val="-27"/>
        <c:axId val="1724474079"/>
        <c:axId val="1724477823"/>
      </c:barChart>
      <c:catAx>
        <c:axId val="172447407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1724477823"/>
        <c:crosses val="autoZero"/>
        <c:auto val="1"/>
        <c:lblAlgn val="ctr"/>
        <c:lblOffset val="100"/>
        <c:noMultiLvlLbl val="0"/>
      </c:catAx>
      <c:valAx>
        <c:axId val="172447782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crossAx val="172447407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Sales Report.xlsx]REGION!PivotTable14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r-PK"/>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REGION!$B$4</c:f>
              <c:strCache>
                <c:ptCount val="1"/>
                <c:pt idx="0">
                  <c:v>Total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7F-40EC-B27F-C57C99F2A6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7F-40EC-B27F-C57C99F2A6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7F-40EC-B27F-C57C99F2A6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7F-40EC-B27F-C57C99F2A63B}"/>
              </c:ext>
            </c:extLst>
          </c:dPt>
          <c:cat>
            <c:strRef>
              <c:f>REGION!$A$5:$A$9</c:f>
              <c:strCache>
                <c:ptCount val="4"/>
                <c:pt idx="0">
                  <c:v>East</c:v>
                </c:pt>
                <c:pt idx="1">
                  <c:v>North</c:v>
                </c:pt>
                <c:pt idx="2">
                  <c:v>South</c:v>
                </c:pt>
                <c:pt idx="3">
                  <c:v>West</c:v>
                </c:pt>
              </c:strCache>
            </c:strRef>
          </c:cat>
          <c:val>
            <c:numRef>
              <c:f>REGION!$B$5:$B$9</c:f>
              <c:numCache>
                <c:formatCode>General</c:formatCode>
                <c:ptCount val="4"/>
                <c:pt idx="0">
                  <c:v>46</c:v>
                </c:pt>
                <c:pt idx="1">
                  <c:v>52</c:v>
                </c:pt>
                <c:pt idx="2">
                  <c:v>50</c:v>
                </c:pt>
                <c:pt idx="3">
                  <c:v>59</c:v>
                </c:pt>
              </c:numCache>
            </c:numRef>
          </c:val>
          <c:extLst>
            <c:ext xmlns:c16="http://schemas.microsoft.com/office/drawing/2014/chart" uri="{C3380CC4-5D6E-409C-BE32-E72D297353CC}">
              <c16:uniqueId val="{00000000-B0B2-4C5B-B3D9-27666106BF20}"/>
            </c:ext>
          </c:extLst>
        </c:ser>
        <c:ser>
          <c:idx val="1"/>
          <c:order val="1"/>
          <c:tx>
            <c:strRef>
              <c:f>REGION!$C$4</c:f>
              <c:strCache>
                <c:ptCount val="1"/>
                <c:pt idx="0">
                  <c:v>Sales Contribution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497F-40EC-B27F-C57C99F2A6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497F-40EC-B27F-C57C99F2A6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497F-40EC-B27F-C57C99F2A6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497F-40EC-B27F-C57C99F2A63B}"/>
              </c:ext>
            </c:extLst>
          </c:dPt>
          <c:cat>
            <c:strRef>
              <c:f>REGION!$A$5:$A$9</c:f>
              <c:strCache>
                <c:ptCount val="4"/>
                <c:pt idx="0">
                  <c:v>East</c:v>
                </c:pt>
                <c:pt idx="1">
                  <c:v>North</c:v>
                </c:pt>
                <c:pt idx="2">
                  <c:v>South</c:v>
                </c:pt>
                <c:pt idx="3">
                  <c:v>West</c:v>
                </c:pt>
              </c:strCache>
            </c:strRef>
          </c:cat>
          <c:val>
            <c:numRef>
              <c:f>REGION!$C$5:$C$9</c:f>
              <c:numCache>
                <c:formatCode>0%</c:formatCode>
                <c:ptCount val="4"/>
                <c:pt idx="0">
                  <c:v>0.25091933338549405</c:v>
                </c:pt>
                <c:pt idx="1">
                  <c:v>0.27188795868867849</c:v>
                </c:pt>
                <c:pt idx="2">
                  <c:v>0.21007745872779909</c:v>
                </c:pt>
                <c:pt idx="3">
                  <c:v>0.26711524919802837</c:v>
                </c:pt>
              </c:numCache>
            </c:numRef>
          </c:val>
          <c:extLst>
            <c:ext xmlns:c16="http://schemas.microsoft.com/office/drawing/2014/chart" uri="{C3380CC4-5D6E-409C-BE32-E72D297353CC}">
              <c16:uniqueId val="{00000001-B0B2-4C5B-B3D9-27666106BF20}"/>
            </c:ext>
          </c:extLst>
        </c:ser>
        <c:ser>
          <c:idx val="2"/>
          <c:order val="2"/>
          <c:tx>
            <c:strRef>
              <c:f>REGION!$D$4</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497F-40EC-B27F-C57C99F2A6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497F-40EC-B27F-C57C99F2A6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497F-40EC-B27F-C57C99F2A6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497F-40EC-B27F-C57C99F2A63B}"/>
              </c:ext>
            </c:extLst>
          </c:dPt>
          <c:cat>
            <c:strRef>
              <c:f>REGION!$A$5:$A$9</c:f>
              <c:strCache>
                <c:ptCount val="4"/>
                <c:pt idx="0">
                  <c:v>East</c:v>
                </c:pt>
                <c:pt idx="1">
                  <c:v>North</c:v>
                </c:pt>
                <c:pt idx="2">
                  <c:v>South</c:v>
                </c:pt>
                <c:pt idx="3">
                  <c:v>West</c:v>
                </c:pt>
              </c:strCache>
            </c:strRef>
          </c:cat>
          <c:val>
            <c:numRef>
              <c:f>REGION!$D$5:$D$9</c:f>
              <c:numCache>
                <c:formatCode>_("$"* #,##0_);_("$"* \(#,##0\);_("$"* "-"??_);_(@_)</c:formatCode>
                <c:ptCount val="4"/>
                <c:pt idx="0">
                  <c:v>3207000</c:v>
                </c:pt>
                <c:pt idx="1">
                  <c:v>3475000</c:v>
                </c:pt>
                <c:pt idx="2">
                  <c:v>2685000</c:v>
                </c:pt>
                <c:pt idx="3">
                  <c:v>3414000</c:v>
                </c:pt>
              </c:numCache>
            </c:numRef>
          </c:val>
          <c:extLst>
            <c:ext xmlns:c16="http://schemas.microsoft.com/office/drawing/2014/chart" uri="{C3380CC4-5D6E-409C-BE32-E72D297353CC}">
              <c16:uniqueId val="{00000002-B0B2-4C5B-B3D9-27666106BF20}"/>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Sales Report.xlsx]Weekly Sales Report!PivotTable7</c:name>
    <c:fmtId val="4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Salespersons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ur-PK"/>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'Weekly Sales Report'!$B$17</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'Weekly Sales Report'!$A$18:$A$21</c:f>
              <c:strCache>
                <c:ptCount val="3"/>
                <c:pt idx="0">
                  <c:v>Ali</c:v>
                </c:pt>
                <c:pt idx="1">
                  <c:v>Sara</c:v>
                </c:pt>
                <c:pt idx="2">
                  <c:v>Ahmed</c:v>
                </c:pt>
              </c:strCache>
            </c:strRef>
          </c:cat>
          <c:val>
            <c:numRef>
              <c:f>'Weekly Sales Report'!$B$18:$B$21</c:f>
              <c:numCache>
                <c:formatCode>_("$"* #,##0_);_("$"* \(#,##0\);_("$"* "-"??_);_(@_)</c:formatCode>
                <c:ptCount val="3"/>
                <c:pt idx="0">
                  <c:v>39200</c:v>
                </c:pt>
                <c:pt idx="1">
                  <c:v>37900</c:v>
                </c:pt>
                <c:pt idx="2">
                  <c:v>32500</c:v>
                </c:pt>
              </c:numCache>
            </c:numRef>
          </c:val>
          <c:extLst>
            <c:ext xmlns:c16="http://schemas.microsoft.com/office/drawing/2014/chart" uri="{C3380CC4-5D6E-409C-BE32-E72D297353CC}">
              <c16:uniqueId val="{00000000-5A6E-4BCB-B46C-D47077FB700A}"/>
            </c:ext>
          </c:extLst>
        </c:ser>
        <c:ser>
          <c:idx val="1"/>
          <c:order val="1"/>
          <c:tx>
            <c:strRef>
              <c:f>'Weekly Sales Report'!$C$17</c:f>
              <c:strCache>
                <c:ptCount val="1"/>
                <c:pt idx="0">
                  <c:v>Sales Contribution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'Weekly Sales Report'!$A$18:$A$21</c:f>
              <c:strCache>
                <c:ptCount val="3"/>
                <c:pt idx="0">
                  <c:v>Ali</c:v>
                </c:pt>
                <c:pt idx="1">
                  <c:v>Sara</c:v>
                </c:pt>
                <c:pt idx="2">
                  <c:v>Ahmed</c:v>
                </c:pt>
              </c:strCache>
            </c:strRef>
          </c:cat>
          <c:val>
            <c:numRef>
              <c:f>'Weekly Sales Report'!$C$18:$C$21</c:f>
              <c:numCache>
                <c:formatCode>0%</c:formatCode>
                <c:ptCount val="3"/>
                <c:pt idx="0">
                  <c:v>0.35766423357664234</c:v>
                </c:pt>
                <c:pt idx="1">
                  <c:v>0.34580291970802918</c:v>
                </c:pt>
                <c:pt idx="2">
                  <c:v>0.29653284671532842</c:v>
                </c:pt>
              </c:numCache>
            </c:numRef>
          </c:val>
          <c:extLst>
            <c:ext xmlns:c16="http://schemas.microsoft.com/office/drawing/2014/chart" uri="{C3380CC4-5D6E-409C-BE32-E72D297353CC}">
              <c16:uniqueId val="{00000001-5A6E-4BCB-B46C-D47077FB700A}"/>
            </c:ext>
          </c:extLst>
        </c:ser>
        <c:dLbls>
          <c:showLegendKey val="0"/>
          <c:showVal val="0"/>
          <c:showCatName val="0"/>
          <c:showSerName val="0"/>
          <c:showPercent val="0"/>
          <c:showBubbleSize val="0"/>
        </c:dLbls>
        <c:gapWidth val="100"/>
        <c:overlap val="-24"/>
        <c:axId val="1590724111"/>
        <c:axId val="1590725775"/>
      </c:barChart>
      <c:catAx>
        <c:axId val="15907241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Salesperson</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r-PK"/>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r-PK"/>
          </a:p>
        </c:txPr>
        <c:crossAx val="1590725775"/>
        <c:crosses val="autoZero"/>
        <c:auto val="1"/>
        <c:lblAlgn val="ctr"/>
        <c:lblOffset val="100"/>
        <c:noMultiLvlLbl val="0"/>
      </c:catAx>
      <c:valAx>
        <c:axId val="159072577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r-PK"/>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r-PK"/>
          </a:p>
        </c:txPr>
        <c:crossAx val="1590724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Sales Report.xlsx]Weekly Sales Report!PivotTable8</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Week -Wise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ur-PK"/>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'Weekly Sales Report'!$B$40:$B$41</c:f>
              <c:strCache>
                <c:ptCount val="1"/>
                <c:pt idx="0">
                  <c:v>W1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F1A-453F-96E7-E50DBD30FC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F1A-453F-96E7-E50DBD30FC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F1A-453F-96E7-E50DBD30FC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F1A-453F-96E7-E50DBD30FC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'Weekly Sales Report'!$A$42:$A$46</c:f>
              <c:strCache>
                <c:ptCount val="4"/>
                <c:pt idx="0">
                  <c:v>East</c:v>
                </c:pt>
                <c:pt idx="1">
                  <c:v>North</c:v>
                </c:pt>
                <c:pt idx="2">
                  <c:v>South</c:v>
                </c:pt>
                <c:pt idx="3">
                  <c:v>West</c:v>
                </c:pt>
              </c:strCache>
            </c:strRef>
          </c:cat>
          <c:val>
            <c:numRef>
              <c:f>'Weekly Sales Report'!$B$42:$B$46</c:f>
              <c:numCache>
                <c:formatCode>_("$"* #,##0_);_("$"* \(#,##0\);_("$"* "-"??_);_(@_)</c:formatCode>
                <c:ptCount val="4"/>
                <c:pt idx="0">
                  <c:v>7200</c:v>
                </c:pt>
                <c:pt idx="1">
                  <c:v>9900</c:v>
                </c:pt>
                <c:pt idx="2">
                  <c:v>11200</c:v>
                </c:pt>
                <c:pt idx="3">
                  <c:v>3000</c:v>
                </c:pt>
              </c:numCache>
            </c:numRef>
          </c:val>
          <c:extLst>
            <c:ext xmlns:c16="http://schemas.microsoft.com/office/drawing/2014/chart" uri="{C3380CC4-5D6E-409C-BE32-E72D297353CC}">
              <c16:uniqueId val="{00000008-CF1A-453F-96E7-E50DBD30FC34}"/>
            </c:ext>
          </c:extLst>
        </c:ser>
        <c:ser>
          <c:idx val="1"/>
          <c:order val="1"/>
          <c:tx>
            <c:strRef>
              <c:f>'Weekly Sales Report'!$C$40:$C$41</c:f>
              <c:strCache>
                <c:ptCount val="1"/>
                <c:pt idx="0">
                  <c:v>W2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A-CF1A-453F-96E7-E50DBD30FC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C-CF1A-453F-96E7-E50DBD30FC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E-CF1A-453F-96E7-E50DBD30FC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0-CF1A-453F-96E7-E50DBD30FC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'Weekly Sales Report'!$A$42:$A$46</c:f>
              <c:strCache>
                <c:ptCount val="4"/>
                <c:pt idx="0">
                  <c:v>East</c:v>
                </c:pt>
                <c:pt idx="1">
                  <c:v>North</c:v>
                </c:pt>
                <c:pt idx="2">
                  <c:v>South</c:v>
                </c:pt>
                <c:pt idx="3">
                  <c:v>West</c:v>
                </c:pt>
              </c:strCache>
            </c:strRef>
          </c:cat>
          <c:val>
            <c:numRef>
              <c:f>'Weekly Sales Report'!$C$42:$C$46</c:f>
              <c:numCache>
                <c:formatCode>_("$"* #,##0_);_("$"* \(#,##0\);_("$"* "-"??_);_(@_)</c:formatCode>
                <c:ptCount val="4"/>
                <c:pt idx="0">
                  <c:v>3600</c:v>
                </c:pt>
                <c:pt idx="1">
                  <c:v>7700</c:v>
                </c:pt>
                <c:pt idx="2">
                  <c:v>19200</c:v>
                </c:pt>
                <c:pt idx="3">
                  <c:v>11000</c:v>
                </c:pt>
              </c:numCache>
            </c:numRef>
          </c:val>
          <c:extLst>
            <c:ext xmlns:c16="http://schemas.microsoft.com/office/drawing/2014/chart" uri="{C3380CC4-5D6E-409C-BE32-E72D297353CC}">
              <c16:uniqueId val="{00000011-CF1A-453F-96E7-E50DBD30FC34}"/>
            </c:ext>
          </c:extLst>
        </c:ser>
        <c:ser>
          <c:idx val="2"/>
          <c:order val="2"/>
          <c:tx>
            <c:strRef>
              <c:f>'Weekly Sales Report'!$D$40:$D$41</c:f>
              <c:strCache>
                <c:ptCount val="1"/>
                <c:pt idx="0">
                  <c:v>W3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3-CF1A-453F-96E7-E50DBD30FC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5-CF1A-453F-96E7-E50DBD30FC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7-CF1A-453F-96E7-E50DBD30FC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9-CF1A-453F-96E7-E50DBD30FC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ur-PK"/>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'Weekly Sales Report'!$A$42:$A$46</c:f>
              <c:strCache>
                <c:ptCount val="4"/>
                <c:pt idx="0">
                  <c:v>East</c:v>
                </c:pt>
                <c:pt idx="1">
                  <c:v>North</c:v>
                </c:pt>
                <c:pt idx="2">
                  <c:v>South</c:v>
                </c:pt>
                <c:pt idx="3">
                  <c:v>West</c:v>
                </c:pt>
              </c:strCache>
            </c:strRef>
          </c:cat>
          <c:val>
            <c:numRef>
              <c:f>'Weekly Sales Report'!$D$42:$D$46</c:f>
              <c:numCache>
                <c:formatCode>_("$"* #,##0_);_("$"* \(#,##0\);_("$"* "-"??_);_(@_)</c:formatCode>
                <c:ptCount val="4"/>
                <c:pt idx="0">
                  <c:v>7200</c:v>
                </c:pt>
                <c:pt idx="1">
                  <c:v>7700</c:v>
                </c:pt>
                <c:pt idx="2">
                  <c:v>10400</c:v>
                </c:pt>
                <c:pt idx="3">
                  <c:v>11500</c:v>
                </c:pt>
              </c:numCache>
            </c:numRef>
          </c:val>
          <c:extLst>
            <c:ext xmlns:c16="http://schemas.microsoft.com/office/drawing/2014/chart" uri="{C3380CC4-5D6E-409C-BE32-E72D297353CC}">
              <c16:uniqueId val="{0000001A-CF1A-453F-96E7-E50DBD30FC34}"/>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r-PK"/>
        </a:p>
      </c:txPr>
    </c:legend>
    <c:plotVisOnly val="1"/>
    <c:dispBlanksAs val="gap"/>
    <c:showDLblsOverMax val="0"/>
  </c:chart>
  <c:spPr>
    <a:solidFill>
      <a:schemeClr val="bg1"/>
    </a:solidFill>
    <a:ln w="9525" cap="flat" cmpd="sng" algn="ctr">
      <a:solidFill>
        <a:schemeClr val="tx2"/>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Sales Report.xlsx]Weekly Sales Report!PivotTable9</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 Wise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ur-PK"/>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'Weekly Sales Report'!$B$66</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'Weekly Sales Report'!$A$67:$A$71</c:f>
              <c:strCache>
                <c:ptCount val="4"/>
                <c:pt idx="0">
                  <c:v>Furniture</c:v>
                </c:pt>
                <c:pt idx="1">
                  <c:v>Electronics</c:v>
                </c:pt>
                <c:pt idx="2">
                  <c:v>Accessories</c:v>
                </c:pt>
                <c:pt idx="3">
                  <c:v>Clothing</c:v>
                </c:pt>
              </c:strCache>
            </c:strRef>
          </c:cat>
          <c:val>
            <c:numRef>
              <c:f>'Weekly Sales Report'!$B$67:$B$71</c:f>
              <c:numCache>
                <c:formatCode>_("$"* #,##0_);_("$"* \(#,##0\);_("$"* "-"??_);_(@_)</c:formatCode>
                <c:ptCount val="4"/>
                <c:pt idx="0">
                  <c:v>40800</c:v>
                </c:pt>
                <c:pt idx="1">
                  <c:v>30500</c:v>
                </c:pt>
                <c:pt idx="2">
                  <c:v>20300</c:v>
                </c:pt>
                <c:pt idx="3">
                  <c:v>18000</c:v>
                </c:pt>
              </c:numCache>
            </c:numRef>
          </c:val>
          <c:extLst>
            <c:ext xmlns:c16="http://schemas.microsoft.com/office/drawing/2014/chart" uri="{C3380CC4-5D6E-409C-BE32-E72D297353CC}">
              <c16:uniqueId val="{00000000-F1A8-4D79-85F0-32CAAB7EB93E}"/>
            </c:ext>
          </c:extLst>
        </c:ser>
        <c:ser>
          <c:idx val="1"/>
          <c:order val="1"/>
          <c:tx>
            <c:strRef>
              <c:f>'Weekly Sales Report'!$C$66</c:f>
              <c:strCache>
                <c:ptCount val="1"/>
                <c:pt idx="0">
                  <c:v>Total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'Weekly Sales Report'!$A$67:$A$71</c:f>
              <c:strCache>
                <c:ptCount val="4"/>
                <c:pt idx="0">
                  <c:v>Furniture</c:v>
                </c:pt>
                <c:pt idx="1">
                  <c:v>Electronics</c:v>
                </c:pt>
                <c:pt idx="2">
                  <c:v>Accessories</c:v>
                </c:pt>
                <c:pt idx="3">
                  <c:v>Clothing</c:v>
                </c:pt>
              </c:strCache>
            </c:strRef>
          </c:cat>
          <c:val>
            <c:numRef>
              <c:f>'Weekly Sales Report'!$C$67:$C$71</c:f>
              <c:numCache>
                <c:formatCode>General</c:formatCode>
                <c:ptCount val="4"/>
                <c:pt idx="0">
                  <c:v>51</c:v>
                </c:pt>
                <c:pt idx="1">
                  <c:v>61</c:v>
                </c:pt>
                <c:pt idx="2">
                  <c:v>29</c:v>
                </c:pt>
                <c:pt idx="3">
                  <c:v>30</c:v>
                </c:pt>
              </c:numCache>
            </c:numRef>
          </c:val>
          <c:extLst>
            <c:ext xmlns:c16="http://schemas.microsoft.com/office/drawing/2014/chart" uri="{C3380CC4-5D6E-409C-BE32-E72D297353CC}">
              <c16:uniqueId val="{00000001-F1A8-4D79-85F0-32CAAB7EB93E}"/>
            </c:ext>
          </c:extLst>
        </c:ser>
        <c:dLbls>
          <c:showLegendKey val="0"/>
          <c:showVal val="0"/>
          <c:showCatName val="0"/>
          <c:showSerName val="0"/>
          <c:showPercent val="0"/>
          <c:showBubbleSize val="0"/>
        </c:dLbls>
        <c:gapWidth val="100"/>
        <c:axId val="1608102463"/>
        <c:axId val="1608092479"/>
      </c:barChart>
      <c:catAx>
        <c:axId val="16081024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Categories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r-PK"/>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r-PK"/>
          </a:p>
        </c:txPr>
        <c:crossAx val="1608092479"/>
        <c:crosses val="autoZero"/>
        <c:auto val="1"/>
        <c:lblAlgn val="ctr"/>
        <c:lblOffset val="100"/>
        <c:noMultiLvlLbl val="0"/>
      </c:catAx>
      <c:valAx>
        <c:axId val="1608092479"/>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r-PK"/>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r-PK"/>
          </a:p>
        </c:txPr>
        <c:crossAx val="16081024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300037</xdr:colOff>
      <xdr:row>2</xdr:row>
      <xdr:rowOff>33337</xdr:rowOff>
    </xdr:from>
    <xdr:to>
      <xdr:col>10</xdr:col>
      <xdr:colOff>71437</xdr:colOff>
      <xdr:row>17</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471487</xdr:colOff>
      <xdr:row>3</xdr:row>
      <xdr:rowOff>176212</xdr:rowOff>
    </xdr:from>
    <xdr:to>
      <xdr:col>11</xdr:col>
      <xdr:colOff>242887</xdr:colOff>
      <xdr:row>19</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23811</xdr:colOff>
      <xdr:row>21</xdr:row>
      <xdr:rowOff>38101</xdr:rowOff>
    </xdr:from>
    <xdr:to>
      <xdr:col>8</xdr:col>
      <xdr:colOff>200026</xdr:colOff>
      <xdr:row>36</xdr:row>
      <xdr:rowOff>33337</xdr:rowOff>
    </xdr:to>
    <xdr:grpSp>
      <xdr:nvGrpSpPr>
        <xdr:cNvPr id="2" name="Group 1"/>
        <xdr:cNvGrpSpPr/>
      </xdr:nvGrpSpPr>
      <xdr:grpSpPr>
        <a:xfrm>
          <a:off x="23811" y="4019551"/>
          <a:ext cx="8939215" cy="2709861"/>
          <a:chOff x="-19901" y="6010276"/>
          <a:chExt cx="6526259" cy="2747961"/>
        </a:xfrm>
      </xdr:grpSpPr>
      <mc:AlternateContent xmlns:mc="http://schemas.openxmlformats.org/markup-compatibility/2006">
        <mc:Choice xmlns:a14="http://schemas.microsoft.com/office/drawing/2010/main" Requires="a14">
          <xdr:graphicFrame macro="">
            <xdr:nvGraphicFramePr>
              <xdr:cNvPr id="3" name="Salesperson"/>
              <xdr:cNvGraphicFramePr/>
            </xdr:nvGraphicFramePr>
            <xdr:xfrm>
              <a:off x="4677558" y="6010276"/>
              <a:ext cx="1828800" cy="120015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458063" y="4019551"/>
                <a:ext cx="2504963" cy="1183510"/>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4" name="Chart 3"/>
          <xdr:cNvGraphicFramePr/>
        </xdr:nvGraphicFramePr>
        <xdr:xfrm>
          <a:off x="-19901" y="6015037"/>
          <a:ext cx="4652963" cy="27432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19050</xdr:colOff>
      <xdr:row>46</xdr:row>
      <xdr:rowOff>38100</xdr:rowOff>
    </xdr:from>
    <xdr:to>
      <xdr:col>8</xdr:col>
      <xdr:colOff>190500</xdr:colOff>
      <xdr:row>61</xdr:row>
      <xdr:rowOff>71437</xdr:rowOff>
    </xdr:to>
    <xdr:grpSp>
      <xdr:nvGrpSpPr>
        <xdr:cNvPr id="5" name="Group 4"/>
        <xdr:cNvGrpSpPr/>
      </xdr:nvGrpSpPr>
      <xdr:grpSpPr>
        <a:xfrm>
          <a:off x="19050" y="8562975"/>
          <a:ext cx="8934450" cy="2747962"/>
          <a:chOff x="9525" y="10648950"/>
          <a:chExt cx="6524625" cy="2747962"/>
        </a:xfrm>
      </xdr:grpSpPr>
      <xdr:graphicFrame macro="">
        <xdr:nvGraphicFramePr>
          <xdr:cNvPr id="6" name="Chart 5"/>
          <xdr:cNvGraphicFramePr/>
        </xdr:nvGraphicFramePr>
        <xdr:xfrm>
          <a:off x="9525" y="10653712"/>
          <a:ext cx="4686300" cy="2743200"/>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graphicFrame macro="">
            <xdr:nvGraphicFramePr>
              <xdr:cNvPr id="7" name="Region"/>
              <xdr:cNvGraphicFramePr/>
            </xdr:nvGraphicFramePr>
            <xdr:xfrm>
              <a:off x="4705350" y="10648950"/>
              <a:ext cx="1828800" cy="1609725"/>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49245" y="8562975"/>
                <a:ext cx="2504255" cy="1609725"/>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19049</xdr:colOff>
      <xdr:row>71</xdr:row>
      <xdr:rowOff>61912</xdr:rowOff>
    </xdr:from>
    <xdr:to>
      <xdr:col>9</xdr:col>
      <xdr:colOff>161925</xdr:colOff>
      <xdr:row>86</xdr:row>
      <xdr:rowOff>90487</xdr:rowOff>
    </xdr:to>
    <xdr:grpSp>
      <xdr:nvGrpSpPr>
        <xdr:cNvPr id="8" name="Group 7"/>
        <xdr:cNvGrpSpPr/>
      </xdr:nvGrpSpPr>
      <xdr:grpSpPr>
        <a:xfrm>
          <a:off x="19049" y="13130212"/>
          <a:ext cx="9591676" cy="2743200"/>
          <a:chOff x="9524" y="13435012"/>
          <a:chExt cx="7210426" cy="2743200"/>
        </a:xfrm>
      </xdr:grpSpPr>
      <mc:AlternateContent xmlns:mc="http://schemas.openxmlformats.org/markup-compatibility/2006">
        <mc:Choice xmlns:a14="http://schemas.microsoft.com/office/drawing/2010/main" Requires="a14">
          <xdr:graphicFrame macro="">
            <xdr:nvGraphicFramePr>
              <xdr:cNvPr id="9" name="Product"/>
              <xdr:cNvGraphicFramePr/>
            </xdr:nvGraphicFramePr>
            <xdr:xfrm>
              <a:off x="5391150" y="13439776"/>
              <a:ext cx="1828800" cy="139065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177962" y="13134976"/>
                <a:ext cx="2432763" cy="1390650"/>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0" name="Chart 9"/>
          <xdr:cNvGraphicFramePr/>
        </xdr:nvGraphicFramePr>
        <xdr:xfrm>
          <a:off x="9524" y="13435012"/>
          <a:ext cx="5362575" cy="27432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74.844453356483" createdVersion="6" refreshedVersion="6" minRefreshableVersion="3" recordCount="60">
  <cacheSource type="worksheet">
    <worksheetSource name="Table1"/>
  </cacheSource>
  <cacheFields count="9">
    <cacheField name="Date" numFmtId="14">
      <sharedItems containsSemiMixedTypes="0" containsNonDate="0" containsDate="1" containsString="0" minDate="2026-01-01T00:00:00" maxDate="2026-12-29T00:00:00"/>
    </cacheField>
    <cacheField name="Invoice No" numFmtId="14">
      <sharedItems/>
    </cacheField>
    <cacheField name="Salesperson" numFmtId="0">
      <sharedItems count="10">
        <s v="Ali Khan"/>
        <s v="Sara Malik"/>
        <s v="Ahmed Raza"/>
        <s v="Hina Qureshi"/>
        <s v="Danish Iqbal"/>
        <s v="Bilal Sheikh"/>
        <s v="Zain Ali"/>
        <s v="Fatima Noor"/>
        <s v="Usman Tariq"/>
        <s v="Sana Javed"/>
      </sharedItems>
    </cacheField>
    <cacheField name="Region" numFmtId="0">
      <sharedItems count="4">
        <s v="North"/>
        <s v="South"/>
        <s v="East"/>
        <s v="West"/>
      </sharedItems>
    </cacheField>
    <cacheField name="Product" numFmtId="0">
      <sharedItems count="14">
        <s v="LED TV 42&quot;"/>
        <s v="Refrigerator 260L"/>
        <s v="Laptop i5"/>
        <s v="Microwave Oven"/>
        <s v="Smartphone 128GB"/>
        <s v="Washing Machine 7kg"/>
        <s v="LED TV 50&quot;"/>
        <s v="Deep Freezer"/>
        <s v="Laptop i7"/>
        <s v="Air Conditioner 1 Ton"/>
        <s v="Refrigerator 300L"/>
        <s v="Smartphone 256GB"/>
        <s v="Air Conditioner 1.5 Ton"/>
        <s v="Washing Machine 9kg"/>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18000" maxValue="125000"/>
    </cacheField>
    <cacheField name="Total Amount" numFmtId="164">
      <sharedItems containsSemiMixedTypes="0" containsString="0" containsNumber="1" containsInteger="1" minValue="90000" maxValue="520000"/>
    </cacheField>
    <cacheField name="Contribution %" numFmtId="9">
      <sharedItems containsSemiMixedTypes="0" containsString="0" containsNumber="1" minValue="7.0417025271887956E-3" maxValue="4.068539237931304E-2"/>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Windows User" refreshedDate="46074.753461574073" createdVersion="6" refreshedVersion="6" minRefreshableVersion="3" recordCount="20">
  <cacheSource type="worksheet">
    <worksheetSource name="Sales"/>
  </cacheSource>
  <cacheFields count="10">
    <cacheField name="Date" numFmtId="14">
      <sharedItems containsSemiMixedTypes="0" containsNonDate="0" containsDate="1" containsString="0" minDate="2026-02-01T00:00:00" maxDate="2026-02-21T00:00:00"/>
    </cacheField>
    <cacheField name="Week" numFmtId="0">
      <sharedItems count="3">
        <s v="W1"/>
        <s v="W2"/>
        <s v="W3"/>
      </sharedItems>
    </cacheField>
    <cacheField name="Invoice No" numFmtId="0">
      <sharedItems/>
    </cacheField>
    <cacheField name="Salesperson" numFmtId="0">
      <sharedItems count="3">
        <s v="Ali"/>
        <s v="Sara"/>
        <s v="Ahmed"/>
      </sharedItems>
    </cacheField>
    <cacheField name="Region" numFmtId="0">
      <sharedItems count="4">
        <s v="North"/>
        <s v="South"/>
        <s v="East"/>
        <s v="West"/>
      </sharedItems>
    </cacheField>
    <cacheField name="Product" numFmtId="0">
      <sharedItems count="4">
        <s v="Electronics"/>
        <s v="Furniture"/>
        <s v="Clothing"/>
        <s v="Accessories"/>
      </sharedItems>
    </cacheField>
    <cacheField name="Quantity" numFmtId="0">
      <sharedItems containsSemiMixedTypes="0" containsString="0" containsNumber="1" containsInteger="1" minValue="3" maxValue="15"/>
    </cacheField>
    <cacheField name="Unit Price" numFmtId="0">
      <sharedItems containsSemiMixedTypes="0" containsString="0" containsNumber="1" containsInteger="1" minValue="500" maxValue="800"/>
    </cacheField>
    <cacheField name="Total Amount" numFmtId="0">
      <sharedItems containsSemiMixedTypes="0" containsString="0" containsNumber="1" containsInteger="1" minValue="2100" maxValue="12000"/>
    </cacheField>
    <cacheField name="Sales Contribution %" numFmtId="9">
      <sharedItems containsSemiMixedTypes="0" containsString="0" containsNumber="1" minValue="1.916058394160584E-2" maxValue="0.10948905109489052"/>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60">
  <r>
    <d v="2026-01-01T00:00:00"/>
    <s v="INV1001"/>
    <x v="0"/>
    <x v="0"/>
    <x v="0"/>
    <n v="5"/>
    <n v="45000"/>
    <n v="225000"/>
    <n v="1.7604256317971991E-2"/>
  </r>
  <r>
    <d v="2026-01-07T00:00:00"/>
    <s v="INV1002"/>
    <x v="1"/>
    <x v="1"/>
    <x v="1"/>
    <n v="3"/>
    <n v="55000"/>
    <n v="165000"/>
    <n v="1.2909787966512792E-2"/>
  </r>
  <r>
    <d v="2026-01-14T00:00:00"/>
    <s v="INV1003"/>
    <x v="2"/>
    <x v="2"/>
    <x v="2"/>
    <n v="4"/>
    <n v="95000"/>
    <n v="380000"/>
    <n v="2.9731632892574914E-2"/>
  </r>
  <r>
    <d v="2026-01-21T00:00:00"/>
    <s v="INV1004"/>
    <x v="3"/>
    <x v="3"/>
    <x v="3"/>
    <n v="6"/>
    <n v="18000"/>
    <n v="108000"/>
    <n v="8.4500430326265551E-3"/>
  </r>
  <r>
    <d v="2026-01-28T00:00:00"/>
    <s v="INV1005"/>
    <x v="4"/>
    <x v="0"/>
    <x v="4"/>
    <n v="8"/>
    <n v="65000"/>
    <n v="520000"/>
    <n v="4.068539237931304E-2"/>
  </r>
  <r>
    <d v="2026-02-01T00:00:00"/>
    <s v="INV1006"/>
    <x v="5"/>
    <x v="1"/>
    <x v="5"/>
    <n v="4"/>
    <n v="38000"/>
    <n v="152000"/>
    <n v="1.1892653157029967E-2"/>
  </r>
  <r>
    <d v="2026-02-07T00:00:00"/>
    <s v="INV1007"/>
    <x v="6"/>
    <x v="2"/>
    <x v="6"/>
    <n v="3"/>
    <n v="70000"/>
    <n v="210000"/>
    <n v="1.6430639230107191E-2"/>
  </r>
  <r>
    <d v="2026-02-14T00:00:00"/>
    <s v="INV1008"/>
    <x v="7"/>
    <x v="3"/>
    <x v="7"/>
    <n v="2"/>
    <n v="60000"/>
    <n v="120000"/>
    <n v="9.3889367029183941E-3"/>
  </r>
  <r>
    <d v="2026-02-21T00:00:00"/>
    <s v="INV1009"/>
    <x v="8"/>
    <x v="0"/>
    <x v="8"/>
    <n v="2"/>
    <n v="125000"/>
    <n v="250000"/>
    <n v="1.9560284797746654E-2"/>
  </r>
  <r>
    <d v="2026-02-28T00:00:00"/>
    <s v="INV1010"/>
    <x v="9"/>
    <x v="1"/>
    <x v="9"/>
    <n v="3"/>
    <n v="75000"/>
    <n v="225000"/>
    <n v="1.7604256317971991E-2"/>
  </r>
  <r>
    <d v="2026-03-01T00:00:00"/>
    <s v="INV1011"/>
    <x v="0"/>
    <x v="2"/>
    <x v="10"/>
    <n v="3"/>
    <n v="65000"/>
    <n v="195000"/>
    <n v="1.5257022142242392E-2"/>
  </r>
  <r>
    <d v="2026-03-07T00:00:00"/>
    <s v="INV1012"/>
    <x v="1"/>
    <x v="3"/>
    <x v="11"/>
    <n v="5"/>
    <n v="85000"/>
    <n v="425000"/>
    <n v="3.3252484156169312E-2"/>
  </r>
  <r>
    <d v="2026-03-14T00:00:00"/>
    <s v="INV1013"/>
    <x v="2"/>
    <x v="0"/>
    <x v="0"/>
    <n v="4"/>
    <n v="45000"/>
    <n v="180000"/>
    <n v="1.4083405054377591E-2"/>
  </r>
  <r>
    <d v="2026-03-21T00:00:00"/>
    <s v="INV1014"/>
    <x v="3"/>
    <x v="1"/>
    <x v="2"/>
    <n v="3"/>
    <n v="95000"/>
    <n v="285000"/>
    <n v="2.2298724669431187E-2"/>
  </r>
  <r>
    <d v="2026-03-28T00:00:00"/>
    <s v="INV1015"/>
    <x v="4"/>
    <x v="2"/>
    <x v="3"/>
    <n v="6"/>
    <n v="18000"/>
    <n v="108000"/>
    <n v="8.4500430326265551E-3"/>
  </r>
  <r>
    <d v="2026-04-01T00:00:00"/>
    <s v="INV1016"/>
    <x v="5"/>
    <x v="3"/>
    <x v="12"/>
    <n v="2"/>
    <n v="85000"/>
    <n v="170000"/>
    <n v="1.3300993662467725E-2"/>
  </r>
  <r>
    <d v="2026-04-07T00:00:00"/>
    <s v="INV1017"/>
    <x v="6"/>
    <x v="0"/>
    <x v="6"/>
    <n v="3"/>
    <n v="70000"/>
    <n v="210000"/>
    <n v="1.6430639230107191E-2"/>
  </r>
  <r>
    <d v="2026-04-14T00:00:00"/>
    <s v="INV1018"/>
    <x v="7"/>
    <x v="1"/>
    <x v="1"/>
    <n v="4"/>
    <n v="55000"/>
    <n v="220000"/>
    <n v="1.7213050622017056E-2"/>
  </r>
  <r>
    <d v="2026-04-21T00:00:00"/>
    <s v="INV1019"/>
    <x v="8"/>
    <x v="2"/>
    <x v="8"/>
    <n v="1"/>
    <n v="125000"/>
    <n v="125000"/>
    <n v="9.7801423988733271E-3"/>
  </r>
  <r>
    <d v="2026-04-28T00:00:00"/>
    <s v="INV1020"/>
    <x v="9"/>
    <x v="3"/>
    <x v="4"/>
    <n v="6"/>
    <n v="65000"/>
    <n v="390000"/>
    <n v="3.0514044284484784E-2"/>
  </r>
  <r>
    <d v="2026-05-01T00:00:00"/>
    <s v="INV1021"/>
    <x v="0"/>
    <x v="0"/>
    <x v="7"/>
    <n v="2"/>
    <n v="60000"/>
    <n v="120000"/>
    <n v="9.3889367029183941E-3"/>
  </r>
  <r>
    <d v="2026-05-07T00:00:00"/>
    <s v="INV1022"/>
    <x v="1"/>
    <x v="1"/>
    <x v="13"/>
    <n v="2"/>
    <n v="45000"/>
    <n v="90000"/>
    <n v="7.0417025271887956E-3"/>
  </r>
  <r>
    <d v="2026-05-14T00:00:00"/>
    <s v="INV1023"/>
    <x v="2"/>
    <x v="2"/>
    <x v="2"/>
    <n v="4"/>
    <n v="95000"/>
    <n v="380000"/>
    <n v="2.9731632892574914E-2"/>
  </r>
  <r>
    <d v="2026-05-21T00:00:00"/>
    <s v="INV1024"/>
    <x v="3"/>
    <x v="3"/>
    <x v="0"/>
    <n v="5"/>
    <n v="45000"/>
    <n v="225000"/>
    <n v="1.7604256317971991E-2"/>
  </r>
  <r>
    <d v="2026-05-28T00:00:00"/>
    <s v="INV1025"/>
    <x v="4"/>
    <x v="0"/>
    <x v="11"/>
    <n v="3"/>
    <n v="85000"/>
    <n v="255000"/>
    <n v="1.9951490493701589E-2"/>
  </r>
  <r>
    <d v="2026-06-01T00:00:00"/>
    <s v="INV1026"/>
    <x v="5"/>
    <x v="1"/>
    <x v="9"/>
    <n v="2"/>
    <n v="75000"/>
    <n v="150000"/>
    <n v="1.1736170878647994E-2"/>
  </r>
  <r>
    <d v="2026-06-07T00:00:00"/>
    <s v="INV1027"/>
    <x v="6"/>
    <x v="2"/>
    <x v="10"/>
    <n v="3"/>
    <n v="65000"/>
    <n v="195000"/>
    <n v="1.5257022142242392E-2"/>
  </r>
  <r>
    <d v="2026-06-14T00:00:00"/>
    <s v="INV1028"/>
    <x v="7"/>
    <x v="3"/>
    <x v="3"/>
    <n v="7"/>
    <n v="18000"/>
    <n v="126000"/>
    <n v="9.8583835380643137E-3"/>
  </r>
  <r>
    <d v="2026-06-21T00:00:00"/>
    <s v="INV1029"/>
    <x v="8"/>
    <x v="0"/>
    <x v="6"/>
    <n v="3"/>
    <n v="70000"/>
    <n v="210000"/>
    <n v="1.6430639230107191E-2"/>
  </r>
  <r>
    <d v="2026-06-28T00:00:00"/>
    <s v="INV1030"/>
    <x v="9"/>
    <x v="1"/>
    <x v="8"/>
    <n v="2"/>
    <n v="125000"/>
    <n v="250000"/>
    <n v="1.9560284797746654E-2"/>
  </r>
  <r>
    <d v="2026-07-01T00:00:00"/>
    <s v="INV1031"/>
    <x v="0"/>
    <x v="2"/>
    <x v="5"/>
    <n v="3"/>
    <n v="38000"/>
    <n v="114000"/>
    <n v="8.9194898677724746E-3"/>
  </r>
  <r>
    <d v="2026-07-07T00:00:00"/>
    <s v="INV1032"/>
    <x v="1"/>
    <x v="3"/>
    <x v="4"/>
    <n v="6"/>
    <n v="65000"/>
    <n v="390000"/>
    <n v="3.0514044284484784E-2"/>
  </r>
  <r>
    <d v="2026-07-14T00:00:00"/>
    <s v="INV1033"/>
    <x v="2"/>
    <x v="0"/>
    <x v="0"/>
    <n v="4"/>
    <n v="45000"/>
    <n v="180000"/>
    <n v="1.4083405054377591E-2"/>
  </r>
  <r>
    <d v="2026-07-21T00:00:00"/>
    <s v="INV1034"/>
    <x v="3"/>
    <x v="1"/>
    <x v="2"/>
    <n v="2"/>
    <n v="95000"/>
    <n v="190000"/>
    <n v="1.4865816446287457E-2"/>
  </r>
  <r>
    <d v="2026-07-28T00:00:00"/>
    <s v="INV1035"/>
    <x v="4"/>
    <x v="2"/>
    <x v="1"/>
    <n v="3"/>
    <n v="55000"/>
    <n v="165000"/>
    <n v="1.2909787966512792E-2"/>
  </r>
  <r>
    <d v="2026-08-01T00:00:00"/>
    <s v="INV1036"/>
    <x v="5"/>
    <x v="3"/>
    <x v="12"/>
    <n v="2"/>
    <n v="85000"/>
    <n v="170000"/>
    <n v="1.3300993662467725E-2"/>
  </r>
  <r>
    <d v="2026-08-07T00:00:00"/>
    <s v="INV1037"/>
    <x v="6"/>
    <x v="0"/>
    <x v="6"/>
    <n v="4"/>
    <n v="70000"/>
    <n v="280000"/>
    <n v="2.1907518973476255E-2"/>
  </r>
  <r>
    <d v="2026-08-14T00:00:00"/>
    <s v="INV1038"/>
    <x v="7"/>
    <x v="1"/>
    <x v="3"/>
    <n v="5"/>
    <n v="18000"/>
    <n v="90000"/>
    <n v="7.0417025271887956E-3"/>
  </r>
  <r>
    <d v="2026-08-21T00:00:00"/>
    <s v="INV1039"/>
    <x v="8"/>
    <x v="2"/>
    <x v="8"/>
    <n v="1"/>
    <n v="125000"/>
    <n v="125000"/>
    <n v="9.7801423988733271E-3"/>
  </r>
  <r>
    <d v="2026-08-28T00:00:00"/>
    <s v="INV1040"/>
    <x v="9"/>
    <x v="3"/>
    <x v="11"/>
    <n v="3"/>
    <n v="85000"/>
    <n v="255000"/>
    <n v="1.9951490493701589E-2"/>
  </r>
  <r>
    <d v="2026-09-01T00:00:00"/>
    <s v="INV1041"/>
    <x v="0"/>
    <x v="0"/>
    <x v="10"/>
    <n v="3"/>
    <n v="65000"/>
    <n v="195000"/>
    <n v="1.5257022142242392E-2"/>
  </r>
  <r>
    <d v="2026-09-07T00:00:00"/>
    <s v="INV1042"/>
    <x v="1"/>
    <x v="1"/>
    <x v="0"/>
    <n v="5"/>
    <n v="45000"/>
    <n v="225000"/>
    <n v="1.7604256317971991E-2"/>
  </r>
  <r>
    <d v="2026-09-14T00:00:00"/>
    <s v="INV1043"/>
    <x v="2"/>
    <x v="2"/>
    <x v="2"/>
    <n v="3"/>
    <n v="95000"/>
    <n v="285000"/>
    <n v="2.2298724669431187E-2"/>
  </r>
  <r>
    <d v="2026-09-21T00:00:00"/>
    <s v="INV1044"/>
    <x v="3"/>
    <x v="3"/>
    <x v="7"/>
    <n v="2"/>
    <n v="60000"/>
    <n v="120000"/>
    <n v="9.3889367029183941E-3"/>
  </r>
  <r>
    <d v="2026-09-28T00:00:00"/>
    <s v="INV1045"/>
    <x v="4"/>
    <x v="0"/>
    <x v="4"/>
    <n v="4"/>
    <n v="65000"/>
    <n v="260000"/>
    <n v="2.034269618965652E-2"/>
  </r>
  <r>
    <d v="2026-10-01T00:00:00"/>
    <s v="INV1046"/>
    <x v="5"/>
    <x v="1"/>
    <x v="13"/>
    <n v="2"/>
    <n v="45000"/>
    <n v="90000"/>
    <n v="7.0417025271887956E-3"/>
  </r>
  <r>
    <d v="2026-10-07T00:00:00"/>
    <s v="INV1047"/>
    <x v="6"/>
    <x v="2"/>
    <x v="6"/>
    <n v="3"/>
    <n v="70000"/>
    <n v="210000"/>
    <n v="1.6430639230107191E-2"/>
  </r>
  <r>
    <d v="2026-10-14T00:00:00"/>
    <s v="INV1048"/>
    <x v="7"/>
    <x v="3"/>
    <x v="1"/>
    <n v="3"/>
    <n v="55000"/>
    <n v="165000"/>
    <n v="1.2909787966512792E-2"/>
  </r>
  <r>
    <d v="2026-10-21T00:00:00"/>
    <s v="INV1049"/>
    <x v="8"/>
    <x v="0"/>
    <x v="8"/>
    <n v="2"/>
    <n v="125000"/>
    <n v="250000"/>
    <n v="1.9560284797746654E-2"/>
  </r>
  <r>
    <d v="2026-10-28T00:00:00"/>
    <s v="INV1050"/>
    <x v="9"/>
    <x v="1"/>
    <x v="9"/>
    <n v="3"/>
    <n v="75000"/>
    <n v="225000"/>
    <n v="1.7604256317971991E-2"/>
  </r>
  <r>
    <d v="2026-11-01T00:00:00"/>
    <s v="INV1051"/>
    <x v="0"/>
    <x v="2"/>
    <x v="0"/>
    <n v="4"/>
    <n v="45000"/>
    <n v="180000"/>
    <n v="1.4083405054377591E-2"/>
  </r>
  <r>
    <d v="2026-11-07T00:00:00"/>
    <s v="INV1052"/>
    <x v="1"/>
    <x v="3"/>
    <x v="11"/>
    <n v="3"/>
    <n v="85000"/>
    <n v="255000"/>
    <n v="1.9951490493701589E-2"/>
  </r>
  <r>
    <d v="2026-11-14T00:00:00"/>
    <s v="INV1053"/>
    <x v="2"/>
    <x v="0"/>
    <x v="10"/>
    <n v="2"/>
    <n v="65000"/>
    <n v="130000"/>
    <n v="1.017134809482826E-2"/>
  </r>
  <r>
    <d v="2026-11-21T00:00:00"/>
    <s v="INV1054"/>
    <x v="3"/>
    <x v="1"/>
    <x v="3"/>
    <n v="6"/>
    <n v="18000"/>
    <n v="108000"/>
    <n v="8.4500430326265551E-3"/>
  </r>
  <r>
    <d v="2026-11-28T00:00:00"/>
    <s v="INV1055"/>
    <x v="4"/>
    <x v="2"/>
    <x v="2"/>
    <n v="3"/>
    <n v="95000"/>
    <n v="285000"/>
    <n v="2.2298724669431187E-2"/>
  </r>
  <r>
    <d v="2026-12-01T00:00:00"/>
    <s v="INV1056"/>
    <x v="5"/>
    <x v="3"/>
    <x v="12"/>
    <n v="2"/>
    <n v="85000"/>
    <n v="170000"/>
    <n v="1.3300993662467725E-2"/>
  </r>
  <r>
    <d v="2026-12-07T00:00:00"/>
    <s v="INV1057"/>
    <x v="6"/>
    <x v="0"/>
    <x v="6"/>
    <n v="3"/>
    <n v="70000"/>
    <n v="210000"/>
    <n v="1.6430639230107191E-2"/>
  </r>
  <r>
    <d v="2026-12-14T00:00:00"/>
    <s v="INV1058"/>
    <x v="7"/>
    <x v="1"/>
    <x v="1"/>
    <n v="4"/>
    <n v="55000"/>
    <n v="220000"/>
    <n v="1.7213050622017056E-2"/>
  </r>
  <r>
    <d v="2026-12-21T00:00:00"/>
    <s v="INV1059"/>
    <x v="8"/>
    <x v="2"/>
    <x v="8"/>
    <n v="2"/>
    <n v="125000"/>
    <n v="250000"/>
    <n v="1.9560284797746654E-2"/>
  </r>
  <r>
    <d v="2026-12-28T00:00:00"/>
    <s v="INV1060"/>
    <x v="9"/>
    <x v="3"/>
    <x v="4"/>
    <n v="5"/>
    <n v="65000"/>
    <n v="325000"/>
    <n v="2.542837023707065E-2"/>
  </r>
</pivotCacheRecords>
</file>

<file path=xl/pivotCache/pivotCacheRecords2.xml><?xml version="1.0" encoding="utf-8"?>
<pivotCacheRecords xmlns="http://schemas.openxmlformats.org/spreadsheetml/2006/main" xmlns:r="http://schemas.openxmlformats.org/officeDocument/2006/relationships" count="20">
  <r>
    <d v="2026-02-01T00:00:00"/>
    <x v="0"/>
    <s v="INV001"/>
    <x v="0"/>
    <x v="0"/>
    <x v="0"/>
    <n v="10"/>
    <n v="500"/>
    <n v="5000"/>
    <n v="4.5620437956204379E-2"/>
  </r>
  <r>
    <d v="2026-02-02T00:00:00"/>
    <x v="0"/>
    <s v="INV002"/>
    <x v="1"/>
    <x v="1"/>
    <x v="1"/>
    <n v="5"/>
    <n v="800"/>
    <n v="4000"/>
    <n v="3.6496350364963501E-2"/>
  </r>
  <r>
    <d v="2026-02-03T00:00:00"/>
    <x v="0"/>
    <s v="INV003"/>
    <x v="2"/>
    <x v="2"/>
    <x v="2"/>
    <n v="8"/>
    <n v="600"/>
    <n v="4800"/>
    <n v="4.3795620437956206E-2"/>
  </r>
  <r>
    <d v="2026-02-04T00:00:00"/>
    <x v="0"/>
    <s v="INV004"/>
    <x v="0"/>
    <x v="3"/>
    <x v="0"/>
    <n v="6"/>
    <n v="500"/>
    <n v="3000"/>
    <n v="2.7372262773722629E-2"/>
  </r>
  <r>
    <d v="2026-02-05T00:00:00"/>
    <x v="0"/>
    <s v="INV005"/>
    <x v="1"/>
    <x v="0"/>
    <x v="3"/>
    <n v="7"/>
    <n v="700"/>
    <n v="4900"/>
    <n v="4.4708029197080293E-2"/>
  </r>
  <r>
    <d v="2026-02-06T00:00:00"/>
    <x v="0"/>
    <s v="INV006"/>
    <x v="2"/>
    <x v="1"/>
    <x v="1"/>
    <n v="9"/>
    <n v="800"/>
    <n v="7200"/>
    <n v="6.569343065693431E-2"/>
  </r>
  <r>
    <d v="2026-02-07T00:00:00"/>
    <x v="0"/>
    <s v="INV007"/>
    <x v="0"/>
    <x v="2"/>
    <x v="2"/>
    <n v="4"/>
    <n v="600"/>
    <n v="2400"/>
    <n v="2.1897810218978103E-2"/>
  </r>
  <r>
    <d v="2026-02-08T00:00:00"/>
    <x v="1"/>
    <s v="INV008"/>
    <x v="1"/>
    <x v="3"/>
    <x v="0"/>
    <n v="12"/>
    <n v="500"/>
    <n v="6000"/>
    <n v="5.4744525547445258E-2"/>
  </r>
  <r>
    <d v="2026-02-09T00:00:00"/>
    <x v="1"/>
    <s v="INV009"/>
    <x v="2"/>
    <x v="0"/>
    <x v="3"/>
    <n v="3"/>
    <n v="700"/>
    <n v="2100"/>
    <n v="1.916058394160584E-2"/>
  </r>
  <r>
    <d v="2026-02-10T00:00:00"/>
    <x v="1"/>
    <s v="INV010"/>
    <x v="0"/>
    <x v="1"/>
    <x v="1"/>
    <n v="15"/>
    <n v="800"/>
    <n v="12000"/>
    <n v="0.10948905109489052"/>
  </r>
  <r>
    <d v="2026-02-11T00:00:00"/>
    <x v="1"/>
    <s v="INV011"/>
    <x v="1"/>
    <x v="2"/>
    <x v="2"/>
    <n v="6"/>
    <n v="600"/>
    <n v="3600"/>
    <n v="3.2846715328467155E-2"/>
  </r>
  <r>
    <d v="2026-02-12T00:00:00"/>
    <x v="1"/>
    <s v="INV012"/>
    <x v="2"/>
    <x v="3"/>
    <x v="0"/>
    <n v="10"/>
    <n v="500"/>
    <n v="5000"/>
    <n v="4.5620437956204379E-2"/>
  </r>
  <r>
    <d v="2026-02-13T00:00:00"/>
    <x v="1"/>
    <s v="INV013"/>
    <x v="0"/>
    <x v="0"/>
    <x v="3"/>
    <n v="8"/>
    <n v="700"/>
    <n v="5600"/>
    <n v="5.1094890510948905E-2"/>
  </r>
  <r>
    <d v="2026-02-14T00:00:00"/>
    <x v="1"/>
    <s v="INV014"/>
    <x v="1"/>
    <x v="1"/>
    <x v="1"/>
    <n v="9"/>
    <n v="800"/>
    <n v="7200"/>
    <n v="6.569343065693431E-2"/>
  </r>
  <r>
    <d v="2026-02-15T00:00:00"/>
    <x v="2"/>
    <s v="INV015"/>
    <x v="2"/>
    <x v="2"/>
    <x v="2"/>
    <n v="5"/>
    <n v="600"/>
    <n v="3000"/>
    <n v="2.7372262773722629E-2"/>
  </r>
  <r>
    <d v="2026-02-16T00:00:00"/>
    <x v="2"/>
    <s v="INV016"/>
    <x v="0"/>
    <x v="3"/>
    <x v="0"/>
    <n v="14"/>
    <n v="500"/>
    <n v="7000"/>
    <n v="6.3868613138686137E-2"/>
  </r>
  <r>
    <d v="2026-02-17T00:00:00"/>
    <x v="2"/>
    <s v="INV017"/>
    <x v="1"/>
    <x v="0"/>
    <x v="3"/>
    <n v="11"/>
    <n v="700"/>
    <n v="7700"/>
    <n v="7.0255474452554742E-2"/>
  </r>
  <r>
    <d v="2026-02-18T00:00:00"/>
    <x v="2"/>
    <s v="INV018"/>
    <x v="2"/>
    <x v="1"/>
    <x v="1"/>
    <n v="13"/>
    <n v="800"/>
    <n v="10400"/>
    <n v="9.4890510948905105E-2"/>
  </r>
  <r>
    <d v="2026-02-19T00:00:00"/>
    <x v="2"/>
    <s v="INV019"/>
    <x v="0"/>
    <x v="2"/>
    <x v="2"/>
    <n v="7"/>
    <n v="600"/>
    <n v="4200"/>
    <n v="3.8321167883211681E-2"/>
  </r>
  <r>
    <d v="2026-02-20T00:00:00"/>
    <x v="2"/>
    <s v="INV020"/>
    <x v="1"/>
    <x v="3"/>
    <x v="0"/>
    <n v="9"/>
    <n v="500"/>
    <n v="4500"/>
    <n v="4.105839416058394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Salespersons">
  <location ref="A3:C14" firstHeaderRow="0" firstDataRow="1" firstDataCol="1"/>
  <pivotFields count="9">
    <pivotField numFmtId="14" showAll="0"/>
    <pivotField showAll="0" defaultSubtotal="0"/>
    <pivotField axis="axisRow" showAll="0" sortType="descending">
      <items count="11">
        <item x="2"/>
        <item x="0"/>
        <item x="5"/>
        <item x="4"/>
        <item x="7"/>
        <item x="3"/>
        <item x="9"/>
        <item x="1"/>
        <item x="8"/>
        <item x="6"/>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numFmtId="164" showAll="0" defaultSubtotal="0"/>
    <pivotField numFmtId="9" showAll="0" defaultSubtotal="0"/>
  </pivotFields>
  <rowFields count="1">
    <field x="2"/>
  </rowFields>
  <rowItems count="11">
    <i>
      <x v="6"/>
    </i>
    <i>
      <x v="3"/>
    </i>
    <i>
      <x v="7"/>
    </i>
    <i>
      <x/>
    </i>
    <i>
      <x v="9"/>
    </i>
    <i>
      <x v="8"/>
    </i>
    <i>
      <x v="5"/>
    </i>
    <i>
      <x v="1"/>
    </i>
    <i>
      <x v="4"/>
    </i>
    <i>
      <x v="2"/>
    </i>
    <i t="grand">
      <x/>
    </i>
  </rowItems>
  <colFields count="1">
    <field x="-2"/>
  </colFields>
  <colItems count="2">
    <i>
      <x/>
    </i>
    <i i="1">
      <x v="1"/>
    </i>
  </colItems>
  <dataFields count="2">
    <dataField name="Sum of Quantity" fld="5" baseField="0" baseItem="0"/>
    <dataField name="Total Sales" fld="7" baseField="0" baseItem="0"/>
  </dataFields>
  <formats count="6">
    <format dxfId="46">
      <pivotArea collapsedLevelsAreSubtotals="1" fieldPosition="0">
        <references count="2">
          <reference field="4294967294" count="1" selected="0">
            <x v="1"/>
          </reference>
          <reference field="2" count="0"/>
        </references>
      </pivotArea>
    </format>
    <format dxfId="45">
      <pivotArea collapsedLevelsAreSubtotals="1" fieldPosition="0">
        <references count="2">
          <reference field="4294967294" count="1" selected="0">
            <x v="1"/>
          </reference>
          <reference field="2" count="0"/>
        </references>
      </pivotArea>
    </format>
    <format dxfId="44">
      <pivotArea collapsedLevelsAreSubtotals="1" fieldPosition="0">
        <references count="2">
          <reference field="4294967294" count="1" selected="0">
            <x v="1"/>
          </reference>
          <reference field="2" count="0"/>
        </references>
      </pivotArea>
    </format>
    <format dxfId="43">
      <pivotArea field="2" grandRow="1" outline="0" collapsedLevelsAreSubtotals="1" axis="axisRow" fieldPosition="0">
        <references count="1">
          <reference field="4294967294" count="1" selected="0">
            <x v="1"/>
          </reference>
        </references>
      </pivotArea>
    </format>
    <format dxfId="42">
      <pivotArea field="2" grandRow="1" outline="0" collapsedLevelsAreSubtotals="1" axis="axisRow" fieldPosition="0">
        <references count="1">
          <reference field="4294967294" count="1" selected="0">
            <x v="1"/>
          </reference>
        </references>
      </pivotArea>
    </format>
    <format dxfId="41">
      <pivotArea field="2" grandRow="1" outline="0" collapsedLevelsAreSubtotals="1" axis="axisRow" fieldPosition="0">
        <references count="1">
          <reference field="4294967294" count="1" selected="0">
            <x v="1"/>
          </reference>
        </references>
      </pivotArea>
    </format>
  </format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8" rowHeaderCaption="Regions">
  <location ref="A4:D9" firstHeaderRow="0" firstDataRow="1" firstDataCol="1"/>
  <pivotFields count="9">
    <pivotField numFmtId="14" showAll="0"/>
    <pivotField showAll="0" defaultSubtotal="0"/>
    <pivotField showAll="0" sortType="descending">
      <items count="11">
        <item x="2"/>
        <item x="0"/>
        <item x="5"/>
        <item x="4"/>
        <item x="7"/>
        <item x="3"/>
        <item x="9"/>
        <item x="1"/>
        <item x="8"/>
        <item x="6"/>
        <item t="default"/>
      </items>
      <autoSortScope>
        <pivotArea dataOnly="0" outline="0" fieldPosition="0">
          <references count="1">
            <reference field="4294967294" count="1" selected="0">
              <x v="2"/>
            </reference>
          </references>
        </pivotArea>
      </autoSortScope>
    </pivotField>
    <pivotField axis="axisRow" showAll="0">
      <items count="5">
        <item x="2"/>
        <item x="0"/>
        <item x="1"/>
        <item x="3"/>
        <item t="default"/>
      </items>
    </pivotField>
    <pivotField showAll="0"/>
    <pivotField dataField="1" showAll="0"/>
    <pivotField showAll="0"/>
    <pivotField dataField="1" numFmtId="164" showAll="0" defaultSubtotal="0"/>
    <pivotField dataField="1" numFmtId="9" showAll="0" defaultSubtotal="0"/>
  </pivotFields>
  <rowFields count="1">
    <field x="3"/>
  </rowFields>
  <rowItems count="5">
    <i>
      <x/>
    </i>
    <i>
      <x v="1"/>
    </i>
    <i>
      <x v="2"/>
    </i>
    <i>
      <x v="3"/>
    </i>
    <i t="grand">
      <x/>
    </i>
  </rowItems>
  <colFields count="1">
    <field x="-2"/>
  </colFields>
  <colItems count="3">
    <i>
      <x/>
    </i>
    <i i="1">
      <x v="1"/>
    </i>
    <i i="2">
      <x v="2"/>
    </i>
  </colItems>
  <dataFields count="3">
    <dataField name="Total Quantity" fld="5" baseField="0" baseItem="0"/>
    <dataField name="Sales Contribution %" fld="8" baseField="0" baseItem="0" numFmtId="9"/>
    <dataField name="Total Sales" fld="7" baseField="0" baseItem="0" numFmtId="164"/>
  </dataFields>
  <formats count="8">
    <format dxfId="40">
      <pivotArea field="2" grandRow="1" outline="0" collapsedLevelsAreSubtotals="1">
        <references count="1">
          <reference field="4294967294" count="1" selected="0">
            <x v="2"/>
          </reference>
        </references>
      </pivotArea>
    </format>
    <format dxfId="39">
      <pivotArea field="2" grandRow="1" outline="0" collapsedLevelsAreSubtotals="1">
        <references count="1">
          <reference field="4294967294" count="1" selected="0">
            <x v="2"/>
          </reference>
        </references>
      </pivotArea>
    </format>
    <format dxfId="38">
      <pivotArea field="2" grandRow="1" outline="0" collapsedLevelsAreSubtotals="1">
        <references count="1">
          <reference field="4294967294" count="1" selected="0">
            <x v="2"/>
          </reference>
        </references>
      </pivotArea>
    </format>
    <format dxfId="37">
      <pivotArea outline="0" collapsedLevelsAreSubtotals="1" fieldPosition="0">
        <references count="1">
          <reference field="4294967294" count="1" selected="0">
            <x v="1"/>
          </reference>
        </references>
      </pivotArea>
    </format>
    <format dxfId="36">
      <pivotArea dataOnly="0" labelOnly="1" outline="0" fieldPosition="0">
        <references count="1">
          <reference field="4294967294" count="1">
            <x v="1"/>
          </reference>
        </references>
      </pivotArea>
    </format>
    <format dxfId="35">
      <pivotArea outline="0" collapsedLevelsAreSubtotals="1" fieldPosition="0">
        <references count="1">
          <reference field="4294967294" count="1" selected="0">
            <x v="2"/>
          </reference>
        </references>
      </pivotArea>
    </format>
    <format dxfId="34">
      <pivotArea outline="0" collapsedLevelsAreSubtotals="1" fieldPosition="0">
        <references count="1">
          <reference field="4294967294" count="1" selected="0">
            <x v="2"/>
          </reference>
        </references>
      </pivotArea>
    </format>
    <format dxfId="33">
      <pivotArea outline="0" collapsedLevelsAreSubtotals="1" fieldPosition="0">
        <references count="1">
          <reference field="4294967294" count="1" selected="0">
            <x v="2"/>
          </reference>
        </references>
      </pivotArea>
    </format>
  </formats>
  <chartFormats count="15">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 chart="0" format="10">
      <pivotArea type="data" outline="0" fieldPosition="0">
        <references count="2">
          <reference field="4294967294" count="1" selected="0">
            <x v="1"/>
          </reference>
          <reference field="3" count="1" selected="0">
            <x v="0"/>
          </reference>
        </references>
      </pivotArea>
    </chartFormat>
    <chartFormat chart="0" format="11">
      <pivotArea type="data" outline="0" fieldPosition="0">
        <references count="2">
          <reference field="4294967294" count="1" selected="0">
            <x v="1"/>
          </reference>
          <reference field="3" count="1" selected="0">
            <x v="1"/>
          </reference>
        </references>
      </pivotArea>
    </chartFormat>
    <chartFormat chart="0" format="12">
      <pivotArea type="data" outline="0" fieldPosition="0">
        <references count="2">
          <reference field="4294967294" count="1" selected="0">
            <x v="1"/>
          </reference>
          <reference field="3" count="1" selected="0">
            <x v="2"/>
          </reference>
        </references>
      </pivotArea>
    </chartFormat>
    <chartFormat chart="0" format="13">
      <pivotArea type="data" outline="0" fieldPosition="0">
        <references count="2">
          <reference field="4294967294" count="1" selected="0">
            <x v="1"/>
          </reference>
          <reference field="3" count="1" selected="0">
            <x v="3"/>
          </reference>
        </references>
      </pivotArea>
    </chartFormat>
    <chartFormat chart="0" format="14">
      <pivotArea type="data" outline="0" fieldPosition="0">
        <references count="2">
          <reference field="4294967294" count="1" selected="0">
            <x v="2"/>
          </reference>
          <reference field="3" count="1" selected="0">
            <x v="0"/>
          </reference>
        </references>
      </pivotArea>
    </chartFormat>
    <chartFormat chart="0" format="15">
      <pivotArea type="data" outline="0" fieldPosition="0">
        <references count="2">
          <reference field="4294967294" count="1" selected="0">
            <x v="2"/>
          </reference>
          <reference field="3" count="1" selected="0">
            <x v="1"/>
          </reference>
        </references>
      </pivotArea>
    </chartFormat>
    <chartFormat chart="0" format="16">
      <pivotArea type="data" outline="0" fieldPosition="0">
        <references count="2">
          <reference field="4294967294" count="1" selected="0">
            <x v="2"/>
          </reference>
          <reference field="3" count="1" selected="0">
            <x v="2"/>
          </reference>
        </references>
      </pivotArea>
    </chartFormat>
    <chartFormat chart="0" format="17">
      <pivotArea type="data" outline="0" fieldPosition="0">
        <references count="2">
          <reference field="4294967294" count="1" selected="0">
            <x v="2"/>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Categories" colHeaderCaption="Week-Wise">
  <location ref="A66:C71" firstHeaderRow="0" firstDataRow="1" firstDataCol="1"/>
  <pivotFields count="10">
    <pivotField numFmtId="14" showAll="0"/>
    <pivotField showAll="0" defaultSubtota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numFmtId="9" showAll="0" defaultSubtotal="0"/>
  </pivotFields>
  <rowFields count="1">
    <field x="5"/>
  </rowFields>
  <rowItems count="5">
    <i>
      <x v="3"/>
    </i>
    <i>
      <x v="2"/>
    </i>
    <i>
      <x/>
    </i>
    <i>
      <x v="1"/>
    </i>
    <i t="grand">
      <x/>
    </i>
  </rowItems>
  <colFields count="1">
    <field x="-2"/>
  </colFields>
  <colItems count="2">
    <i>
      <x/>
    </i>
    <i i="1">
      <x v="1"/>
    </i>
  </colItems>
  <dataFields count="2">
    <dataField name="Total Sales" fld="8" baseField="0" baseItem="0" numFmtId="164"/>
    <dataField name="Total Quantity" fld="6" baseField="0" baseItem="0"/>
  </dataFields>
  <formats count="7">
    <format dxfId="0">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 dxfId="3">
      <pivotArea field="5" type="button" dataOnly="0" labelOnly="1" outline="0" axis="axisRow" fieldPosition="0"/>
    </format>
    <format dxfId="4">
      <pivotArea dataOnly="0" labelOnly="1" outline="0" fieldPosition="0">
        <references count="1">
          <reference field="4294967294" count="2">
            <x v="0"/>
            <x v="1"/>
          </reference>
        </references>
      </pivotArea>
    </format>
    <format dxfId="5">
      <pivotArea grandRow="1" outline="0" collapsedLevelsAreSubtotals="1" fieldPosition="0"/>
    </format>
    <format dxfId="6">
      <pivotArea dataOnly="0" labelOnly="1" grandRow="1" outline="0" fieldPosition="0"/>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5" rowHeaderCaption="Salespersons">
  <location ref="A17:C21" firstHeaderRow="0" firstDataRow="1" firstDataCol="1"/>
  <pivotFields count="10">
    <pivotField numFmtId="14" showAll="0"/>
    <pivotField showAll="0" defaultSubtotal="0"/>
    <pivotField showAll="0"/>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 showAll="0">
      <items count="5">
        <item x="2"/>
        <item x="0"/>
        <item x="1"/>
        <item x="3"/>
        <item t="default"/>
      </items>
    </pivotField>
    <pivotField showAll="0">
      <items count="5">
        <item x="3"/>
        <item x="2"/>
        <item x="0"/>
        <item x="1"/>
        <item t="default"/>
      </items>
    </pivotField>
    <pivotField showAll="0"/>
    <pivotField showAll="0"/>
    <pivotField dataField="1" showAll="0"/>
    <pivotField dataField="1" numFmtId="9" showAll="0" defaultSubtotal="0"/>
  </pivotFields>
  <rowFields count="1">
    <field x="3"/>
  </rowFields>
  <rowItems count="4">
    <i>
      <x v="1"/>
    </i>
    <i>
      <x v="2"/>
    </i>
    <i>
      <x/>
    </i>
    <i t="grand">
      <x/>
    </i>
  </rowItems>
  <colFields count="1">
    <field x="-2"/>
  </colFields>
  <colItems count="2">
    <i>
      <x/>
    </i>
    <i i="1">
      <x v="1"/>
    </i>
  </colItems>
  <dataFields count="2">
    <dataField name="Total Sales" fld="8" baseField="0" baseItem="0" numFmtId="164"/>
    <dataField name="Sales Contribution " fld="9" baseField="0" baseItem="0"/>
  </dataFields>
  <formats count="12">
    <format dxfId="7">
      <pivotArea collapsedLevelsAreSubtotals="1" fieldPosition="0">
        <references count="2">
          <reference field="4294967294" count="1" selected="0">
            <x v="1"/>
          </reference>
          <reference field="3" count="0"/>
        </references>
      </pivotArea>
    </format>
    <format dxfId="8">
      <pivotArea collapsedLevelsAreSubtotals="1" fieldPosition="0">
        <references count="2">
          <reference field="4294967294" count="1" selected="0">
            <x v="1"/>
          </reference>
          <reference field="3" count="0"/>
        </references>
      </pivotArea>
    </format>
    <format dxfId="9">
      <pivotArea field="3" grandRow="1" outline="0" collapsedLevelsAreSubtotals="1" axis="axisRow" fieldPosition="0">
        <references count="1">
          <reference field="4294967294" count="1" selected="0">
            <x v="1"/>
          </reference>
        </references>
      </pivotArea>
    </format>
    <format dxfId="10">
      <pivotArea field="3" grandRow="1" outline="0" collapsedLevelsAreSubtotals="1" axis="axisRow" fieldPosition="0">
        <references count="1">
          <reference field="4294967294" count="1" selected="0">
            <x v="1"/>
          </reference>
        </references>
      </pivotArea>
    </format>
    <format dxfId="11">
      <pivotArea field="3" grandRow="1" outline="0" collapsedLevelsAreSubtotals="1" axis="axisRow" fieldPosition="0">
        <references count="1">
          <reference field="4294967294" count="1" selected="0">
            <x v="1"/>
          </reference>
        </references>
      </pivotArea>
    </format>
    <format dxfId="12">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0"/>
          </reference>
        </references>
      </pivotArea>
    </format>
    <format dxfId="15">
      <pivotArea field="3" type="button" dataOnly="0" labelOnly="1" outline="0" axis="axisRow" fieldPosition="0"/>
    </format>
    <format dxfId="16">
      <pivotArea dataOnly="0" labelOnly="1" outline="0" fieldPosition="0">
        <references count="1">
          <reference field="4294967294" count="2">
            <x v="0"/>
            <x v="1"/>
          </reference>
        </references>
      </pivotArea>
    </format>
    <format dxfId="17">
      <pivotArea grandRow="1" outline="0" collapsedLevelsAreSubtotals="1" fieldPosition="0"/>
    </format>
    <format dxfId="18">
      <pivotArea dataOnly="0" labelOnly="1" grandRow="1" outline="0" fieldPosition="0"/>
    </format>
  </formats>
  <chartFormats count="4">
    <chartFormat chart="0" format="4"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44" format="6"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Regions" colHeaderCaption="Week-Wise">
  <location ref="A40:E46" firstHeaderRow="1" firstDataRow="2" firstDataCol="1"/>
  <pivotFields count="10">
    <pivotField numFmtId="14" showAll="0"/>
    <pivotField axis="axisCol" showAll="0" defaultSubtotal="0">
      <items count="3">
        <item x="0"/>
        <item x="1"/>
        <item x="2"/>
      </items>
    </pivotField>
    <pivotField showAll="0"/>
    <pivotField showAll="0"/>
    <pivotField axis="axisRow" showAll="0">
      <items count="5">
        <item x="2"/>
        <item x="0"/>
        <item x="1"/>
        <item x="3"/>
        <item t="default"/>
      </items>
    </pivotField>
    <pivotField showAll="0"/>
    <pivotField showAll="0"/>
    <pivotField showAll="0"/>
    <pivotField dataField="1" showAll="0"/>
    <pivotField numFmtId="9" showAll="0" defaultSubtotal="0"/>
  </pivotFields>
  <rowFields count="1">
    <field x="4"/>
  </rowFields>
  <rowItems count="5">
    <i>
      <x/>
    </i>
    <i>
      <x v="1"/>
    </i>
    <i>
      <x v="2"/>
    </i>
    <i>
      <x v="3"/>
    </i>
    <i t="grand">
      <x/>
    </i>
  </rowItems>
  <colFields count="1">
    <field x="1"/>
  </colFields>
  <colItems count="4">
    <i>
      <x/>
    </i>
    <i>
      <x v="1"/>
    </i>
    <i>
      <x v="2"/>
    </i>
    <i t="grand">
      <x/>
    </i>
  </colItems>
  <dataFields count="1">
    <dataField name="Total Sales" fld="8" baseField="0" baseItem="0" numFmtId="164"/>
  </dataFields>
  <formats count="14">
    <format dxfId="19">
      <pivotArea field="4" grandCol="1" collapsedLevelsAreSubtotals="1" axis="axisRow" fieldPosition="0">
        <references count="1">
          <reference field="4" count="0"/>
        </references>
      </pivotArea>
    </format>
    <format dxfId="20">
      <pivotArea field="4" grandCol="1" collapsedLevelsAreSubtotals="1" axis="axisRow" fieldPosition="0">
        <references count="1">
          <reference field="4" count="0"/>
        </references>
      </pivotArea>
    </format>
    <format dxfId="21">
      <pivotArea field="4" grandCol="1" collapsedLevelsAreSubtotals="1" axis="axisRow" fieldPosition="0">
        <references count="1">
          <reference field="4" count="0"/>
        </references>
      </pivotArea>
    </format>
    <format dxfId="22">
      <pivotArea outline="0" collapsedLevelsAreSubtotals="1" fieldPosition="0"/>
    </format>
    <format dxfId="23">
      <pivotArea outline="0" collapsedLevelsAreSubtotals="1" fieldPosition="0"/>
    </format>
    <format dxfId="24">
      <pivotArea outline="0" collapsedLevelsAreSubtotals="1" fieldPosition="0"/>
    </format>
    <format dxfId="25">
      <pivotArea type="origin" dataOnly="0" labelOnly="1" outline="0" fieldPosition="0"/>
    </format>
    <format dxfId="26">
      <pivotArea field="1" type="button" dataOnly="0" labelOnly="1" outline="0" axis="axisCol" fieldPosition="0"/>
    </format>
    <format dxfId="27">
      <pivotArea type="topRight" dataOnly="0" labelOnly="1" outline="0" fieldPosition="0"/>
    </format>
    <format dxfId="28">
      <pivotArea field="4" type="button" dataOnly="0" labelOnly="1" outline="0" axis="axisRow" fieldPosition="0"/>
    </format>
    <format dxfId="29">
      <pivotArea dataOnly="0" labelOnly="1" fieldPosition="0">
        <references count="1">
          <reference field="1" count="0"/>
        </references>
      </pivotArea>
    </format>
    <format dxfId="30">
      <pivotArea dataOnly="0" labelOnly="1" grandCol="1" outline="0" fieldPosition="0"/>
    </format>
    <format dxfId="31">
      <pivotArea grandRow="1" outline="0" collapsedLevelsAreSubtotals="1" fieldPosition="0"/>
    </format>
    <format dxfId="32">
      <pivotArea dataOnly="0" labelOnly="1" grandRow="1" outline="0" fieldPosition="0"/>
    </format>
  </formats>
  <chartFormats count="30">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3">
          <reference field="4294967294" count="1" selected="0">
            <x v="0"/>
          </reference>
          <reference field="1" count="1" selected="0">
            <x v="0"/>
          </reference>
          <reference field="4" count="1" selected="0">
            <x v="0"/>
          </reference>
        </references>
      </pivotArea>
    </chartFormat>
    <chartFormat chart="0" format="7">
      <pivotArea type="data" outline="0" fieldPosition="0">
        <references count="3">
          <reference field="4294967294" count="1" selected="0">
            <x v="0"/>
          </reference>
          <reference field="1" count="1" selected="0">
            <x v="0"/>
          </reference>
          <reference field="4" count="1" selected="0">
            <x v="1"/>
          </reference>
        </references>
      </pivotArea>
    </chartFormat>
    <chartFormat chart="0" format="8">
      <pivotArea type="data" outline="0" fieldPosition="0">
        <references count="3">
          <reference field="4294967294" count="1" selected="0">
            <x v="0"/>
          </reference>
          <reference field="1" count="1" selected="0">
            <x v="0"/>
          </reference>
          <reference field="4" count="1" selected="0">
            <x v="2"/>
          </reference>
        </references>
      </pivotArea>
    </chartFormat>
    <chartFormat chart="0" format="9">
      <pivotArea type="data" outline="0" fieldPosition="0">
        <references count="3">
          <reference field="4294967294" count="1" selected="0">
            <x v="0"/>
          </reference>
          <reference field="1" count="1" selected="0">
            <x v="0"/>
          </reference>
          <reference field="4" count="1" selected="0">
            <x v="3"/>
          </reference>
        </references>
      </pivotArea>
    </chartFormat>
    <chartFormat chart="0" format="10">
      <pivotArea type="data" outline="0" fieldPosition="0">
        <references count="3">
          <reference field="4294967294" count="1" selected="0">
            <x v="0"/>
          </reference>
          <reference field="1" count="1" selected="0">
            <x v="1"/>
          </reference>
          <reference field="4" count="1" selected="0">
            <x v="0"/>
          </reference>
        </references>
      </pivotArea>
    </chartFormat>
    <chartFormat chart="0" format="11">
      <pivotArea type="data" outline="0" fieldPosition="0">
        <references count="3">
          <reference field="4294967294" count="1" selected="0">
            <x v="0"/>
          </reference>
          <reference field="1" count="1" selected="0">
            <x v="1"/>
          </reference>
          <reference field="4" count="1" selected="0">
            <x v="1"/>
          </reference>
        </references>
      </pivotArea>
    </chartFormat>
    <chartFormat chart="0" format="12">
      <pivotArea type="data" outline="0" fieldPosition="0">
        <references count="3">
          <reference field="4294967294" count="1" selected="0">
            <x v="0"/>
          </reference>
          <reference field="1" count="1" selected="0">
            <x v="1"/>
          </reference>
          <reference field="4" count="1" selected="0">
            <x v="2"/>
          </reference>
        </references>
      </pivotArea>
    </chartFormat>
    <chartFormat chart="0" format="13">
      <pivotArea type="data" outline="0" fieldPosition="0">
        <references count="3">
          <reference field="4294967294" count="1" selected="0">
            <x v="0"/>
          </reference>
          <reference field="1" count="1" selected="0">
            <x v="1"/>
          </reference>
          <reference field="4" count="1" selected="0">
            <x v="3"/>
          </reference>
        </references>
      </pivotArea>
    </chartFormat>
    <chartFormat chart="0" format="14">
      <pivotArea type="data" outline="0" fieldPosition="0">
        <references count="3">
          <reference field="4294967294" count="1" selected="0">
            <x v="0"/>
          </reference>
          <reference field="1" count="1" selected="0">
            <x v="2"/>
          </reference>
          <reference field="4" count="1" selected="0">
            <x v="0"/>
          </reference>
        </references>
      </pivotArea>
    </chartFormat>
    <chartFormat chart="0" format="15">
      <pivotArea type="data" outline="0" fieldPosition="0">
        <references count="3">
          <reference field="4294967294" count="1" selected="0">
            <x v="0"/>
          </reference>
          <reference field="1" count="1" selected="0">
            <x v="2"/>
          </reference>
          <reference field="4" count="1" selected="0">
            <x v="1"/>
          </reference>
        </references>
      </pivotArea>
    </chartFormat>
    <chartFormat chart="0" format="16">
      <pivotArea type="data" outline="0" fieldPosition="0">
        <references count="3">
          <reference field="4294967294" count="1" selected="0">
            <x v="0"/>
          </reference>
          <reference field="1" count="1" selected="0">
            <x v="2"/>
          </reference>
          <reference field="4" count="1" selected="0">
            <x v="2"/>
          </reference>
        </references>
      </pivotArea>
    </chartFormat>
    <chartFormat chart="0" format="17">
      <pivotArea type="data" outline="0" fieldPosition="0">
        <references count="3">
          <reference field="4294967294" count="1" selected="0">
            <x v="0"/>
          </reference>
          <reference field="1" count="1" selected="0">
            <x v="2"/>
          </reference>
          <reference field="4" count="1" selected="0">
            <x v="3"/>
          </reference>
        </references>
      </pivotArea>
    </chartFormat>
    <chartFormat chart="12" format="18" series="1">
      <pivotArea type="data" outline="0" fieldPosition="0">
        <references count="2">
          <reference field="4294967294" count="1" selected="0">
            <x v="0"/>
          </reference>
          <reference field="1" count="1" selected="0">
            <x v="0"/>
          </reference>
        </references>
      </pivotArea>
    </chartFormat>
    <chartFormat chart="12" format="19">
      <pivotArea type="data" outline="0" fieldPosition="0">
        <references count="3">
          <reference field="4294967294" count="1" selected="0">
            <x v="0"/>
          </reference>
          <reference field="1" count="1" selected="0">
            <x v="0"/>
          </reference>
          <reference field="4" count="1" selected="0">
            <x v="0"/>
          </reference>
        </references>
      </pivotArea>
    </chartFormat>
    <chartFormat chart="12" format="20">
      <pivotArea type="data" outline="0" fieldPosition="0">
        <references count="3">
          <reference field="4294967294" count="1" selected="0">
            <x v="0"/>
          </reference>
          <reference field="1" count="1" selected="0">
            <x v="0"/>
          </reference>
          <reference field="4" count="1" selected="0">
            <x v="1"/>
          </reference>
        </references>
      </pivotArea>
    </chartFormat>
    <chartFormat chart="12" format="21">
      <pivotArea type="data" outline="0" fieldPosition="0">
        <references count="3">
          <reference field="4294967294" count="1" selected="0">
            <x v="0"/>
          </reference>
          <reference field="1" count="1" selected="0">
            <x v="0"/>
          </reference>
          <reference field="4" count="1" selected="0">
            <x v="2"/>
          </reference>
        </references>
      </pivotArea>
    </chartFormat>
    <chartFormat chart="12" format="22">
      <pivotArea type="data" outline="0" fieldPosition="0">
        <references count="3">
          <reference field="4294967294" count="1" selected="0">
            <x v="0"/>
          </reference>
          <reference field="1" count="1" selected="0">
            <x v="0"/>
          </reference>
          <reference field="4" count="1" selected="0">
            <x v="3"/>
          </reference>
        </references>
      </pivotArea>
    </chartFormat>
    <chartFormat chart="12" format="23" series="1">
      <pivotArea type="data" outline="0" fieldPosition="0">
        <references count="2">
          <reference field="4294967294" count="1" selected="0">
            <x v="0"/>
          </reference>
          <reference field="1" count="1" selected="0">
            <x v="1"/>
          </reference>
        </references>
      </pivotArea>
    </chartFormat>
    <chartFormat chart="12" format="24">
      <pivotArea type="data" outline="0" fieldPosition="0">
        <references count="3">
          <reference field="4294967294" count="1" selected="0">
            <x v="0"/>
          </reference>
          <reference field="1" count="1" selected="0">
            <x v="1"/>
          </reference>
          <reference field="4" count="1" selected="0">
            <x v="0"/>
          </reference>
        </references>
      </pivotArea>
    </chartFormat>
    <chartFormat chart="12" format="25">
      <pivotArea type="data" outline="0" fieldPosition="0">
        <references count="3">
          <reference field="4294967294" count="1" selected="0">
            <x v="0"/>
          </reference>
          <reference field="1" count="1" selected="0">
            <x v="1"/>
          </reference>
          <reference field="4" count="1" selected="0">
            <x v="1"/>
          </reference>
        </references>
      </pivotArea>
    </chartFormat>
    <chartFormat chart="12" format="26">
      <pivotArea type="data" outline="0" fieldPosition="0">
        <references count="3">
          <reference field="4294967294" count="1" selected="0">
            <x v="0"/>
          </reference>
          <reference field="1" count="1" selected="0">
            <x v="1"/>
          </reference>
          <reference field="4" count="1" selected="0">
            <x v="2"/>
          </reference>
        </references>
      </pivotArea>
    </chartFormat>
    <chartFormat chart="12" format="27">
      <pivotArea type="data" outline="0" fieldPosition="0">
        <references count="3">
          <reference field="4294967294" count="1" selected="0">
            <x v="0"/>
          </reference>
          <reference field="1" count="1" selected="0">
            <x v="1"/>
          </reference>
          <reference field="4" count="1" selected="0">
            <x v="3"/>
          </reference>
        </references>
      </pivotArea>
    </chartFormat>
    <chartFormat chart="12" format="28" series="1">
      <pivotArea type="data" outline="0" fieldPosition="0">
        <references count="2">
          <reference field="4294967294" count="1" selected="0">
            <x v="0"/>
          </reference>
          <reference field="1" count="1" selected="0">
            <x v="2"/>
          </reference>
        </references>
      </pivotArea>
    </chartFormat>
    <chartFormat chart="12" format="29">
      <pivotArea type="data" outline="0" fieldPosition="0">
        <references count="3">
          <reference field="4294967294" count="1" selected="0">
            <x v="0"/>
          </reference>
          <reference field="1" count="1" selected="0">
            <x v="2"/>
          </reference>
          <reference field="4" count="1" selected="0">
            <x v="0"/>
          </reference>
        </references>
      </pivotArea>
    </chartFormat>
    <chartFormat chart="12" format="30">
      <pivotArea type="data" outline="0" fieldPosition="0">
        <references count="3">
          <reference field="4294967294" count="1" selected="0">
            <x v="0"/>
          </reference>
          <reference field="1" count="1" selected="0">
            <x v="2"/>
          </reference>
          <reference field="4" count="1" selected="0">
            <x v="1"/>
          </reference>
        </references>
      </pivotArea>
    </chartFormat>
    <chartFormat chart="12" format="31">
      <pivotArea type="data" outline="0" fieldPosition="0">
        <references count="3">
          <reference field="4294967294" count="1" selected="0">
            <x v="0"/>
          </reference>
          <reference field="1" count="1" selected="0">
            <x v="2"/>
          </reference>
          <reference field="4" count="1" selected="0">
            <x v="2"/>
          </reference>
        </references>
      </pivotArea>
    </chartFormat>
    <chartFormat chart="12" format="32">
      <pivotArea type="data" outline="0" fieldPosition="0">
        <references count="3">
          <reference field="4294967294" count="1" selected="0">
            <x v="0"/>
          </reference>
          <reference field="1" count="1" selected="0">
            <x v="2"/>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9" name="PivotTable7"/>
  </pivotTables>
  <data>
    <tabular pivotCacheId="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8"/>
  </pivotTables>
  <data>
    <tabular pivotCacheId="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9" name="PivotTable9"/>
  </pivotTables>
  <data>
    <tabular pivotCacheId="2">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person" cache="Slicer_Salesperson" caption="Salesperson" rowHeight="241300"/>
  <slicer name="Region" cache="Slicer_Region" caption="Region" rowHeight="241300"/>
  <slicer name="Product" cache="Slicer_Product" caption="Product" rowHeight="241300"/>
</slicers>
</file>

<file path=xl/tables/table1.xml><?xml version="1.0" encoding="utf-8"?>
<table xmlns="http://schemas.openxmlformats.org/spreadsheetml/2006/main" id="1" name="Table1" displayName="Table1" ref="A1:I62" totalsRowCount="1" headerRowDxfId="66" dataDxfId="65">
  <autoFilter ref="A1:I61"/>
  <tableColumns count="9">
    <tableColumn id="1" name="Date" dataDxfId="64" totalsRowDxfId="63"/>
    <tableColumn id="8" name="Invoice No" totalsRowFunction="count" dataDxfId="62" totalsRowDxfId="61"/>
    <tableColumn id="2" name="Salesperson" dataDxfId="60" totalsRowDxfId="59"/>
    <tableColumn id="3" name="Region" dataDxfId="58" totalsRowDxfId="57"/>
    <tableColumn id="4" name="Product" dataDxfId="56" totalsRowDxfId="55"/>
    <tableColumn id="5" name="Quantity" totalsRowFunction="sum" dataDxfId="54" totalsRowDxfId="53"/>
    <tableColumn id="6" name="Unit Price" dataDxfId="52" totalsRowDxfId="51"/>
    <tableColumn id="7" name="Total Amount" totalsRowFunction="custom" dataDxfId="50" totalsRowDxfId="49" dataCellStyle="Currency">
      <totalsRowFormula>SUM(Table1[Total Amount])</totalsRowFormula>
    </tableColumn>
    <tableColumn id="9" name="Contribution %" dataDxfId="48" totalsRowDxfId="47" dataCellStyle="Percent">
      <calculatedColumnFormula>Table1[[#This Row],[Total Amount]]/12781000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workbookViewId="0">
      <pane ySplit="1" topLeftCell="A2" activePane="bottomLeft" state="frozen"/>
      <selection pane="bottomLeft" activeCell="K51" sqref="K51"/>
    </sheetView>
  </sheetViews>
  <sheetFormatPr defaultRowHeight="14.25" x14ac:dyDescent="0.2"/>
  <cols>
    <col min="1" max="1" width="8.125" bestFit="1" customWidth="1"/>
    <col min="2" max="2" width="11" customWidth="1"/>
    <col min="3" max="3" width="13.875" customWidth="1"/>
    <col min="4" max="4" width="9.125" customWidth="1"/>
    <col min="5" max="5" width="19.625" bestFit="1" customWidth="1"/>
    <col min="6" max="6" width="10.125" customWidth="1"/>
    <col min="7" max="7" width="11.5" customWidth="1"/>
    <col min="8" max="8" width="12.625" customWidth="1"/>
    <col min="9" max="9" width="14.625" customWidth="1"/>
  </cols>
  <sheetData>
    <row r="1" spans="1:9" ht="38.25" customHeight="1" x14ac:dyDescent="0.2">
      <c r="A1" s="1" t="s">
        <v>64</v>
      </c>
      <c r="B1" s="1" t="s">
        <v>0</v>
      </c>
      <c r="C1" s="1" t="s">
        <v>1</v>
      </c>
      <c r="D1" s="1" t="s">
        <v>2</v>
      </c>
      <c r="E1" s="1" t="s">
        <v>65</v>
      </c>
      <c r="F1" s="1" t="s">
        <v>3</v>
      </c>
      <c r="G1" s="1" t="s">
        <v>4</v>
      </c>
      <c r="H1" s="1" t="s">
        <v>99</v>
      </c>
      <c r="I1" s="1" t="s">
        <v>101</v>
      </c>
    </row>
    <row r="2" spans="1:9" x14ac:dyDescent="0.2">
      <c r="A2" s="3">
        <v>46023</v>
      </c>
      <c r="B2" s="3" t="s">
        <v>6</v>
      </c>
      <c r="C2" s="2" t="s">
        <v>7</v>
      </c>
      <c r="D2" s="2" t="s">
        <v>8</v>
      </c>
      <c r="E2" s="2" t="s">
        <v>9</v>
      </c>
      <c r="F2" s="2">
        <v>5</v>
      </c>
      <c r="G2" s="2">
        <v>45000</v>
      </c>
      <c r="H2" s="4">
        <v>225000</v>
      </c>
      <c r="I2" s="11">
        <f>Table1[[#This Row],[Total Amount]]/12781000</f>
        <v>1.7604256317971991E-2</v>
      </c>
    </row>
    <row r="3" spans="1:9" x14ac:dyDescent="0.2">
      <c r="A3" s="3">
        <v>46029</v>
      </c>
      <c r="B3" s="3" t="s">
        <v>10</v>
      </c>
      <c r="C3" s="2" t="s">
        <v>11</v>
      </c>
      <c r="D3" s="2" t="s">
        <v>12</v>
      </c>
      <c r="E3" s="2" t="s">
        <v>13</v>
      </c>
      <c r="F3" s="2">
        <v>3</v>
      </c>
      <c r="G3" s="2">
        <v>55000</v>
      </c>
      <c r="H3" s="4">
        <v>165000</v>
      </c>
      <c r="I3" s="11">
        <f>Table1[[#This Row],[Total Amount]]/12781000</f>
        <v>1.2909787966512792E-2</v>
      </c>
    </row>
    <row r="4" spans="1:9" x14ac:dyDescent="0.2">
      <c r="A4" s="3">
        <v>46036</v>
      </c>
      <c r="B4" s="3" t="s">
        <v>14</v>
      </c>
      <c r="C4" s="2" t="s">
        <v>15</v>
      </c>
      <c r="D4" s="2" t="s">
        <v>16</v>
      </c>
      <c r="E4" s="2" t="s">
        <v>27</v>
      </c>
      <c r="F4" s="2">
        <v>4</v>
      </c>
      <c r="G4" s="2">
        <v>95000</v>
      </c>
      <c r="H4" s="4">
        <v>380000</v>
      </c>
      <c r="I4" s="11">
        <f>Table1[[#This Row],[Total Amount]]/12781000</f>
        <v>2.9731632892574914E-2</v>
      </c>
    </row>
    <row r="5" spans="1:9" x14ac:dyDescent="0.2">
      <c r="A5" s="3">
        <v>46043</v>
      </c>
      <c r="B5" s="3" t="s">
        <v>18</v>
      </c>
      <c r="C5" s="2" t="s">
        <v>23</v>
      </c>
      <c r="D5" s="2" t="s">
        <v>20</v>
      </c>
      <c r="E5" s="2" t="s">
        <v>24</v>
      </c>
      <c r="F5" s="2">
        <v>6</v>
      </c>
      <c r="G5" s="2">
        <v>18000</v>
      </c>
      <c r="H5" s="4">
        <v>108000</v>
      </c>
      <c r="I5" s="11">
        <f>Table1[[#This Row],[Total Amount]]/12781000</f>
        <v>8.4500430326265551E-3</v>
      </c>
    </row>
    <row r="6" spans="1:9" x14ac:dyDescent="0.2">
      <c r="A6" s="3">
        <v>46050</v>
      </c>
      <c r="B6" s="3" t="s">
        <v>22</v>
      </c>
      <c r="C6" s="2" t="s">
        <v>26</v>
      </c>
      <c r="D6" s="2" t="s">
        <v>8</v>
      </c>
      <c r="E6" s="2" t="s">
        <v>30</v>
      </c>
      <c r="F6" s="2">
        <v>8</v>
      </c>
      <c r="G6" s="2">
        <v>65000</v>
      </c>
      <c r="H6" s="4">
        <v>520000</v>
      </c>
      <c r="I6" s="11">
        <f>Table1[[#This Row],[Total Amount]]/12781000</f>
        <v>4.068539237931304E-2</v>
      </c>
    </row>
    <row r="7" spans="1:9" x14ac:dyDescent="0.2">
      <c r="A7" s="3">
        <v>46054</v>
      </c>
      <c r="B7" s="3" t="s">
        <v>25</v>
      </c>
      <c r="C7" s="2" t="s">
        <v>19</v>
      </c>
      <c r="D7" s="2" t="s">
        <v>12</v>
      </c>
      <c r="E7" s="2" t="s">
        <v>17</v>
      </c>
      <c r="F7" s="2">
        <v>4</v>
      </c>
      <c r="G7" s="2">
        <v>38000</v>
      </c>
      <c r="H7" s="4">
        <v>152000</v>
      </c>
      <c r="I7" s="11">
        <f>Table1[[#This Row],[Total Amount]]/12781000</f>
        <v>1.1892653157029967E-2</v>
      </c>
    </row>
    <row r="8" spans="1:9" x14ac:dyDescent="0.2">
      <c r="A8" s="3">
        <v>46060</v>
      </c>
      <c r="B8" s="3" t="s">
        <v>28</v>
      </c>
      <c r="C8" s="2" t="s">
        <v>29</v>
      </c>
      <c r="D8" s="2" t="s">
        <v>16</v>
      </c>
      <c r="E8" s="2" t="s">
        <v>36</v>
      </c>
      <c r="F8" s="2">
        <v>3</v>
      </c>
      <c r="G8" s="2">
        <v>70000</v>
      </c>
      <c r="H8" s="4">
        <v>210000</v>
      </c>
      <c r="I8" s="11">
        <f>Table1[[#This Row],[Total Amount]]/12781000</f>
        <v>1.6430639230107191E-2</v>
      </c>
    </row>
    <row r="9" spans="1:9" x14ac:dyDescent="0.2">
      <c r="A9" s="3">
        <v>46067</v>
      </c>
      <c r="B9" s="3" t="s">
        <v>31</v>
      </c>
      <c r="C9" s="2" t="s">
        <v>32</v>
      </c>
      <c r="D9" s="2" t="s">
        <v>20</v>
      </c>
      <c r="E9" s="2" t="s">
        <v>33</v>
      </c>
      <c r="F9" s="2">
        <v>2</v>
      </c>
      <c r="G9" s="2">
        <v>60000</v>
      </c>
      <c r="H9" s="4">
        <v>120000</v>
      </c>
      <c r="I9" s="11">
        <f>Table1[[#This Row],[Total Amount]]/12781000</f>
        <v>9.3889367029183941E-3</v>
      </c>
    </row>
    <row r="10" spans="1:9" x14ac:dyDescent="0.2">
      <c r="A10" s="3">
        <v>46074</v>
      </c>
      <c r="B10" s="3" t="s">
        <v>34</v>
      </c>
      <c r="C10" s="2" t="s">
        <v>35</v>
      </c>
      <c r="D10" s="2" t="s">
        <v>8</v>
      </c>
      <c r="E10" s="2" t="s">
        <v>41</v>
      </c>
      <c r="F10" s="2">
        <v>2</v>
      </c>
      <c r="G10" s="2">
        <v>125000</v>
      </c>
      <c r="H10" s="4">
        <v>250000</v>
      </c>
      <c r="I10" s="11">
        <f>Table1[[#This Row],[Total Amount]]/12781000</f>
        <v>1.9560284797746654E-2</v>
      </c>
    </row>
    <row r="11" spans="1:9" x14ac:dyDescent="0.2">
      <c r="A11" s="3">
        <v>46081</v>
      </c>
      <c r="B11" s="3" t="s">
        <v>37</v>
      </c>
      <c r="C11" s="2" t="s">
        <v>38</v>
      </c>
      <c r="D11" s="2" t="s">
        <v>12</v>
      </c>
      <c r="E11" s="2" t="s">
        <v>39</v>
      </c>
      <c r="F11" s="2">
        <v>3</v>
      </c>
      <c r="G11" s="2">
        <v>75000</v>
      </c>
      <c r="H11" s="4">
        <v>225000</v>
      </c>
      <c r="I11" s="11">
        <f>Table1[[#This Row],[Total Amount]]/12781000</f>
        <v>1.7604256317971991E-2</v>
      </c>
    </row>
    <row r="12" spans="1:9" x14ac:dyDescent="0.2">
      <c r="A12" s="3">
        <v>46082</v>
      </c>
      <c r="B12" s="3" t="s">
        <v>40</v>
      </c>
      <c r="C12" s="2" t="s">
        <v>7</v>
      </c>
      <c r="D12" s="2" t="s">
        <v>16</v>
      </c>
      <c r="E12" s="2" t="s">
        <v>47</v>
      </c>
      <c r="F12" s="2">
        <v>3</v>
      </c>
      <c r="G12" s="2">
        <v>65000</v>
      </c>
      <c r="H12" s="4">
        <v>195000</v>
      </c>
      <c r="I12" s="11">
        <f>Table1[[#This Row],[Total Amount]]/12781000</f>
        <v>1.5257022142242392E-2</v>
      </c>
    </row>
    <row r="13" spans="1:9" x14ac:dyDescent="0.2">
      <c r="A13" s="3">
        <v>46088</v>
      </c>
      <c r="B13" s="3" t="s">
        <v>42</v>
      </c>
      <c r="C13" s="2" t="s">
        <v>11</v>
      </c>
      <c r="D13" s="2" t="s">
        <v>20</v>
      </c>
      <c r="E13" s="2" t="s">
        <v>45</v>
      </c>
      <c r="F13" s="2">
        <v>5</v>
      </c>
      <c r="G13" s="2">
        <v>85000</v>
      </c>
      <c r="H13" s="4">
        <v>425000</v>
      </c>
      <c r="I13" s="11">
        <f>Table1[[#This Row],[Total Amount]]/12781000</f>
        <v>3.3252484156169312E-2</v>
      </c>
    </row>
    <row r="14" spans="1:9" x14ac:dyDescent="0.2">
      <c r="A14" s="3">
        <v>46095</v>
      </c>
      <c r="B14" s="3" t="s">
        <v>44</v>
      </c>
      <c r="C14" s="2" t="s">
        <v>15</v>
      </c>
      <c r="D14" s="2" t="s">
        <v>8</v>
      </c>
      <c r="E14" s="2" t="s">
        <v>9</v>
      </c>
      <c r="F14" s="2">
        <v>4</v>
      </c>
      <c r="G14" s="2">
        <v>45000</v>
      </c>
      <c r="H14" s="4">
        <v>180000</v>
      </c>
      <c r="I14" s="11">
        <f>Table1[[#This Row],[Total Amount]]/12781000</f>
        <v>1.4083405054377591E-2</v>
      </c>
    </row>
    <row r="15" spans="1:9" x14ac:dyDescent="0.2">
      <c r="A15" s="3">
        <v>46102</v>
      </c>
      <c r="B15" s="3" t="s">
        <v>46</v>
      </c>
      <c r="C15" s="2" t="s">
        <v>23</v>
      </c>
      <c r="D15" s="2" t="s">
        <v>12</v>
      </c>
      <c r="E15" s="2" t="s">
        <v>27</v>
      </c>
      <c r="F15" s="2">
        <v>3</v>
      </c>
      <c r="G15" s="2">
        <v>95000</v>
      </c>
      <c r="H15" s="4">
        <v>285000</v>
      </c>
      <c r="I15" s="11">
        <f>Table1[[#This Row],[Total Amount]]/12781000</f>
        <v>2.2298724669431187E-2</v>
      </c>
    </row>
    <row r="16" spans="1:9" x14ac:dyDescent="0.2">
      <c r="A16" s="3">
        <v>46109</v>
      </c>
      <c r="B16" s="3" t="s">
        <v>48</v>
      </c>
      <c r="C16" s="2" t="s">
        <v>26</v>
      </c>
      <c r="D16" s="2" t="s">
        <v>16</v>
      </c>
      <c r="E16" s="2" t="s">
        <v>24</v>
      </c>
      <c r="F16" s="2">
        <v>6</v>
      </c>
      <c r="G16" s="2">
        <v>18000</v>
      </c>
      <c r="H16" s="4">
        <v>108000</v>
      </c>
      <c r="I16" s="11">
        <f>Table1[[#This Row],[Total Amount]]/12781000</f>
        <v>8.4500430326265551E-3</v>
      </c>
    </row>
    <row r="17" spans="1:9" x14ac:dyDescent="0.2">
      <c r="A17" s="3">
        <v>46113</v>
      </c>
      <c r="B17" s="3" t="s">
        <v>49</v>
      </c>
      <c r="C17" s="2" t="s">
        <v>19</v>
      </c>
      <c r="D17" s="2" t="s">
        <v>20</v>
      </c>
      <c r="E17" s="2" t="s">
        <v>21</v>
      </c>
      <c r="F17" s="2">
        <v>2</v>
      </c>
      <c r="G17" s="2">
        <v>85000</v>
      </c>
      <c r="H17" s="4">
        <v>170000</v>
      </c>
      <c r="I17" s="11">
        <f>Table1[[#This Row],[Total Amount]]/12781000</f>
        <v>1.3300993662467725E-2</v>
      </c>
    </row>
    <row r="18" spans="1:9" x14ac:dyDescent="0.2">
      <c r="A18" s="3">
        <v>46119</v>
      </c>
      <c r="B18" s="3" t="s">
        <v>50</v>
      </c>
      <c r="C18" s="2" t="s">
        <v>29</v>
      </c>
      <c r="D18" s="2" t="s">
        <v>8</v>
      </c>
      <c r="E18" s="2" t="s">
        <v>36</v>
      </c>
      <c r="F18" s="2">
        <v>3</v>
      </c>
      <c r="G18" s="2">
        <v>70000</v>
      </c>
      <c r="H18" s="4">
        <v>210000</v>
      </c>
      <c r="I18" s="11">
        <f>Table1[[#This Row],[Total Amount]]/12781000</f>
        <v>1.6430639230107191E-2</v>
      </c>
    </row>
    <row r="19" spans="1:9" x14ac:dyDescent="0.2">
      <c r="A19" s="3">
        <v>46126</v>
      </c>
      <c r="B19" s="3" t="s">
        <v>51</v>
      </c>
      <c r="C19" s="2" t="s">
        <v>32</v>
      </c>
      <c r="D19" s="2" t="s">
        <v>12</v>
      </c>
      <c r="E19" s="2" t="s">
        <v>13</v>
      </c>
      <c r="F19" s="2">
        <v>4</v>
      </c>
      <c r="G19" s="2">
        <v>55000</v>
      </c>
      <c r="H19" s="4">
        <v>220000</v>
      </c>
      <c r="I19" s="11">
        <f>Table1[[#This Row],[Total Amount]]/12781000</f>
        <v>1.7213050622017056E-2</v>
      </c>
    </row>
    <row r="20" spans="1:9" x14ac:dyDescent="0.2">
      <c r="A20" s="3">
        <v>46133</v>
      </c>
      <c r="B20" s="3" t="s">
        <v>52</v>
      </c>
      <c r="C20" s="2" t="s">
        <v>35</v>
      </c>
      <c r="D20" s="2" t="s">
        <v>16</v>
      </c>
      <c r="E20" s="2" t="s">
        <v>41</v>
      </c>
      <c r="F20" s="2">
        <v>1</v>
      </c>
      <c r="G20" s="2">
        <v>125000</v>
      </c>
      <c r="H20" s="4">
        <v>125000</v>
      </c>
      <c r="I20" s="11">
        <f>Table1[[#This Row],[Total Amount]]/12781000</f>
        <v>9.7801423988733271E-3</v>
      </c>
    </row>
    <row r="21" spans="1:9" x14ac:dyDescent="0.2">
      <c r="A21" s="3">
        <v>46140</v>
      </c>
      <c r="B21" s="3" t="s">
        <v>53</v>
      </c>
      <c r="C21" s="2" t="s">
        <v>38</v>
      </c>
      <c r="D21" s="2" t="s">
        <v>20</v>
      </c>
      <c r="E21" s="2" t="s">
        <v>30</v>
      </c>
      <c r="F21" s="2">
        <v>6</v>
      </c>
      <c r="G21" s="2">
        <v>65000</v>
      </c>
      <c r="H21" s="4">
        <v>390000</v>
      </c>
      <c r="I21" s="11">
        <f>Table1[[#This Row],[Total Amount]]/12781000</f>
        <v>3.0514044284484784E-2</v>
      </c>
    </row>
    <row r="22" spans="1:9" x14ac:dyDescent="0.2">
      <c r="A22" s="3">
        <v>46143</v>
      </c>
      <c r="B22" s="3" t="s">
        <v>54</v>
      </c>
      <c r="C22" s="2" t="s">
        <v>7</v>
      </c>
      <c r="D22" s="2" t="s">
        <v>8</v>
      </c>
      <c r="E22" s="2" t="s">
        <v>33</v>
      </c>
      <c r="F22" s="2">
        <v>2</v>
      </c>
      <c r="G22" s="2">
        <v>60000</v>
      </c>
      <c r="H22" s="4">
        <v>120000</v>
      </c>
      <c r="I22" s="11">
        <f>Table1[[#This Row],[Total Amount]]/12781000</f>
        <v>9.3889367029183941E-3</v>
      </c>
    </row>
    <row r="23" spans="1:9" x14ac:dyDescent="0.2">
      <c r="A23" s="3">
        <v>46149</v>
      </c>
      <c r="B23" s="3" t="s">
        <v>55</v>
      </c>
      <c r="C23" s="2" t="s">
        <v>11</v>
      </c>
      <c r="D23" s="2" t="s">
        <v>12</v>
      </c>
      <c r="E23" s="2" t="s">
        <v>43</v>
      </c>
      <c r="F23" s="2">
        <v>2</v>
      </c>
      <c r="G23" s="2">
        <v>45000</v>
      </c>
      <c r="H23" s="4">
        <v>90000</v>
      </c>
      <c r="I23" s="11">
        <f>Table1[[#This Row],[Total Amount]]/12781000</f>
        <v>7.0417025271887956E-3</v>
      </c>
    </row>
    <row r="24" spans="1:9" x14ac:dyDescent="0.2">
      <c r="A24" s="3">
        <v>46156</v>
      </c>
      <c r="B24" s="3" t="s">
        <v>56</v>
      </c>
      <c r="C24" s="2" t="s">
        <v>15</v>
      </c>
      <c r="D24" s="2" t="s">
        <v>16</v>
      </c>
      <c r="E24" s="2" t="s">
        <v>27</v>
      </c>
      <c r="F24" s="2">
        <v>4</v>
      </c>
      <c r="G24" s="2">
        <v>95000</v>
      </c>
      <c r="H24" s="4">
        <v>380000</v>
      </c>
      <c r="I24" s="11">
        <f>Table1[[#This Row],[Total Amount]]/12781000</f>
        <v>2.9731632892574914E-2</v>
      </c>
    </row>
    <row r="25" spans="1:9" x14ac:dyDescent="0.2">
      <c r="A25" s="3">
        <v>46163</v>
      </c>
      <c r="B25" s="3" t="s">
        <v>57</v>
      </c>
      <c r="C25" s="2" t="s">
        <v>23</v>
      </c>
      <c r="D25" s="2" t="s">
        <v>20</v>
      </c>
      <c r="E25" s="2" t="s">
        <v>9</v>
      </c>
      <c r="F25" s="2">
        <v>5</v>
      </c>
      <c r="G25" s="2">
        <v>45000</v>
      </c>
      <c r="H25" s="4">
        <v>225000</v>
      </c>
      <c r="I25" s="11">
        <f>Table1[[#This Row],[Total Amount]]/12781000</f>
        <v>1.7604256317971991E-2</v>
      </c>
    </row>
    <row r="26" spans="1:9" x14ac:dyDescent="0.2">
      <c r="A26" s="3">
        <v>46170</v>
      </c>
      <c r="B26" s="3" t="s">
        <v>58</v>
      </c>
      <c r="C26" s="2" t="s">
        <v>26</v>
      </c>
      <c r="D26" s="2" t="s">
        <v>8</v>
      </c>
      <c r="E26" s="2" t="s">
        <v>45</v>
      </c>
      <c r="F26" s="2">
        <v>3</v>
      </c>
      <c r="G26" s="2">
        <v>85000</v>
      </c>
      <c r="H26" s="4">
        <v>255000</v>
      </c>
      <c r="I26" s="11">
        <f>Table1[[#This Row],[Total Amount]]/12781000</f>
        <v>1.9951490493701589E-2</v>
      </c>
    </row>
    <row r="27" spans="1:9" x14ac:dyDescent="0.2">
      <c r="A27" s="3">
        <v>46174</v>
      </c>
      <c r="B27" s="3" t="s">
        <v>59</v>
      </c>
      <c r="C27" s="2" t="s">
        <v>19</v>
      </c>
      <c r="D27" s="2" t="s">
        <v>12</v>
      </c>
      <c r="E27" s="2" t="s">
        <v>39</v>
      </c>
      <c r="F27" s="2">
        <v>2</v>
      </c>
      <c r="G27" s="2">
        <v>75000</v>
      </c>
      <c r="H27" s="4">
        <v>150000</v>
      </c>
      <c r="I27" s="11">
        <f>Table1[[#This Row],[Total Amount]]/12781000</f>
        <v>1.1736170878647994E-2</v>
      </c>
    </row>
    <row r="28" spans="1:9" x14ac:dyDescent="0.2">
      <c r="A28" s="3">
        <v>46180</v>
      </c>
      <c r="B28" s="3" t="s">
        <v>60</v>
      </c>
      <c r="C28" s="2" t="s">
        <v>29</v>
      </c>
      <c r="D28" s="2" t="s">
        <v>16</v>
      </c>
      <c r="E28" s="2" t="s">
        <v>47</v>
      </c>
      <c r="F28" s="2">
        <v>3</v>
      </c>
      <c r="G28" s="2">
        <v>65000</v>
      </c>
      <c r="H28" s="4">
        <v>195000</v>
      </c>
      <c r="I28" s="11">
        <f>Table1[[#This Row],[Total Amount]]/12781000</f>
        <v>1.5257022142242392E-2</v>
      </c>
    </row>
    <row r="29" spans="1:9" x14ac:dyDescent="0.2">
      <c r="A29" s="3">
        <v>46187</v>
      </c>
      <c r="B29" s="3" t="s">
        <v>61</v>
      </c>
      <c r="C29" s="2" t="s">
        <v>32</v>
      </c>
      <c r="D29" s="2" t="s">
        <v>20</v>
      </c>
      <c r="E29" s="2" t="s">
        <v>24</v>
      </c>
      <c r="F29" s="2">
        <v>7</v>
      </c>
      <c r="G29" s="2">
        <v>18000</v>
      </c>
      <c r="H29" s="4">
        <v>126000</v>
      </c>
      <c r="I29" s="11">
        <f>Table1[[#This Row],[Total Amount]]/12781000</f>
        <v>9.8583835380643137E-3</v>
      </c>
    </row>
    <row r="30" spans="1:9" x14ac:dyDescent="0.2">
      <c r="A30" s="3">
        <v>46194</v>
      </c>
      <c r="B30" s="3" t="s">
        <v>62</v>
      </c>
      <c r="C30" s="2" t="s">
        <v>35</v>
      </c>
      <c r="D30" s="2" t="s">
        <v>8</v>
      </c>
      <c r="E30" s="2" t="s">
        <v>36</v>
      </c>
      <c r="F30" s="2">
        <v>3</v>
      </c>
      <c r="G30" s="2">
        <v>70000</v>
      </c>
      <c r="H30" s="4">
        <v>210000</v>
      </c>
      <c r="I30" s="11">
        <f>Table1[[#This Row],[Total Amount]]/12781000</f>
        <v>1.6430639230107191E-2</v>
      </c>
    </row>
    <row r="31" spans="1:9" x14ac:dyDescent="0.2">
      <c r="A31" s="3">
        <v>46201</v>
      </c>
      <c r="B31" s="3" t="s">
        <v>63</v>
      </c>
      <c r="C31" s="2" t="s">
        <v>38</v>
      </c>
      <c r="D31" s="2" t="s">
        <v>12</v>
      </c>
      <c r="E31" s="2" t="s">
        <v>41</v>
      </c>
      <c r="F31" s="2">
        <v>2</v>
      </c>
      <c r="G31" s="2">
        <v>125000</v>
      </c>
      <c r="H31" s="4">
        <v>250000</v>
      </c>
      <c r="I31" s="11">
        <f>Table1[[#This Row],[Total Amount]]/12781000</f>
        <v>1.9560284797746654E-2</v>
      </c>
    </row>
    <row r="32" spans="1:9" x14ac:dyDescent="0.2">
      <c r="A32" s="3">
        <v>46204</v>
      </c>
      <c r="B32" s="3" t="s">
        <v>66</v>
      </c>
      <c r="C32" s="2" t="s">
        <v>7</v>
      </c>
      <c r="D32" s="2" t="s">
        <v>16</v>
      </c>
      <c r="E32" s="2" t="s">
        <v>17</v>
      </c>
      <c r="F32" s="2">
        <v>3</v>
      </c>
      <c r="G32" s="2">
        <v>38000</v>
      </c>
      <c r="H32" s="4">
        <v>114000</v>
      </c>
      <c r="I32" s="11">
        <f>Table1[[#This Row],[Total Amount]]/12781000</f>
        <v>8.9194898677724746E-3</v>
      </c>
    </row>
    <row r="33" spans="1:9" x14ac:dyDescent="0.2">
      <c r="A33" s="3">
        <v>46210</v>
      </c>
      <c r="B33" s="3" t="s">
        <v>67</v>
      </c>
      <c r="C33" s="2" t="s">
        <v>11</v>
      </c>
      <c r="D33" s="2" t="s">
        <v>20</v>
      </c>
      <c r="E33" s="2" t="s">
        <v>30</v>
      </c>
      <c r="F33" s="2">
        <v>6</v>
      </c>
      <c r="G33" s="2">
        <v>65000</v>
      </c>
      <c r="H33" s="4">
        <v>390000</v>
      </c>
      <c r="I33" s="11">
        <f>Table1[[#This Row],[Total Amount]]/12781000</f>
        <v>3.0514044284484784E-2</v>
      </c>
    </row>
    <row r="34" spans="1:9" x14ac:dyDescent="0.2">
      <c r="A34" s="3">
        <v>46217</v>
      </c>
      <c r="B34" s="3" t="s">
        <v>68</v>
      </c>
      <c r="C34" s="2" t="s">
        <v>15</v>
      </c>
      <c r="D34" s="2" t="s">
        <v>8</v>
      </c>
      <c r="E34" s="2" t="s">
        <v>9</v>
      </c>
      <c r="F34" s="2">
        <v>4</v>
      </c>
      <c r="G34" s="2">
        <v>45000</v>
      </c>
      <c r="H34" s="4">
        <v>180000</v>
      </c>
      <c r="I34" s="11">
        <f>Table1[[#This Row],[Total Amount]]/12781000</f>
        <v>1.4083405054377591E-2</v>
      </c>
    </row>
    <row r="35" spans="1:9" x14ac:dyDescent="0.2">
      <c r="A35" s="3">
        <v>46224</v>
      </c>
      <c r="B35" s="3" t="s">
        <v>69</v>
      </c>
      <c r="C35" s="2" t="s">
        <v>23</v>
      </c>
      <c r="D35" s="2" t="s">
        <v>12</v>
      </c>
      <c r="E35" s="2" t="s">
        <v>27</v>
      </c>
      <c r="F35" s="2">
        <v>2</v>
      </c>
      <c r="G35" s="2">
        <v>95000</v>
      </c>
      <c r="H35" s="4">
        <v>190000</v>
      </c>
      <c r="I35" s="11">
        <f>Table1[[#This Row],[Total Amount]]/12781000</f>
        <v>1.4865816446287457E-2</v>
      </c>
    </row>
    <row r="36" spans="1:9" x14ac:dyDescent="0.2">
      <c r="A36" s="3">
        <v>46231</v>
      </c>
      <c r="B36" s="3" t="s">
        <v>70</v>
      </c>
      <c r="C36" s="2" t="s">
        <v>26</v>
      </c>
      <c r="D36" s="2" t="s">
        <v>16</v>
      </c>
      <c r="E36" s="2" t="s">
        <v>13</v>
      </c>
      <c r="F36" s="2">
        <v>3</v>
      </c>
      <c r="G36" s="2">
        <v>55000</v>
      </c>
      <c r="H36" s="4">
        <v>165000</v>
      </c>
      <c r="I36" s="11">
        <f>Table1[[#This Row],[Total Amount]]/12781000</f>
        <v>1.2909787966512792E-2</v>
      </c>
    </row>
    <row r="37" spans="1:9" x14ac:dyDescent="0.2">
      <c r="A37" s="3">
        <v>46235</v>
      </c>
      <c r="B37" s="3" t="s">
        <v>71</v>
      </c>
      <c r="C37" s="2" t="s">
        <v>19</v>
      </c>
      <c r="D37" s="2" t="s">
        <v>20</v>
      </c>
      <c r="E37" s="2" t="s">
        <v>21</v>
      </c>
      <c r="F37" s="2">
        <v>2</v>
      </c>
      <c r="G37" s="2">
        <v>85000</v>
      </c>
      <c r="H37" s="4">
        <v>170000</v>
      </c>
      <c r="I37" s="11">
        <f>Table1[[#This Row],[Total Amount]]/12781000</f>
        <v>1.3300993662467725E-2</v>
      </c>
    </row>
    <row r="38" spans="1:9" x14ac:dyDescent="0.2">
      <c r="A38" s="3">
        <v>46241</v>
      </c>
      <c r="B38" s="3" t="s">
        <v>72</v>
      </c>
      <c r="C38" s="2" t="s">
        <v>29</v>
      </c>
      <c r="D38" s="2" t="s">
        <v>8</v>
      </c>
      <c r="E38" s="2" t="s">
        <v>36</v>
      </c>
      <c r="F38" s="2">
        <v>4</v>
      </c>
      <c r="G38" s="2">
        <v>70000</v>
      </c>
      <c r="H38" s="4">
        <v>280000</v>
      </c>
      <c r="I38" s="11">
        <f>Table1[[#This Row],[Total Amount]]/12781000</f>
        <v>2.1907518973476255E-2</v>
      </c>
    </row>
    <row r="39" spans="1:9" x14ac:dyDescent="0.2">
      <c r="A39" s="3">
        <v>46248</v>
      </c>
      <c r="B39" s="3" t="s">
        <v>73</v>
      </c>
      <c r="C39" s="2" t="s">
        <v>32</v>
      </c>
      <c r="D39" s="2" t="s">
        <v>12</v>
      </c>
      <c r="E39" s="2" t="s">
        <v>24</v>
      </c>
      <c r="F39" s="2">
        <v>5</v>
      </c>
      <c r="G39" s="2">
        <v>18000</v>
      </c>
      <c r="H39" s="4">
        <v>90000</v>
      </c>
      <c r="I39" s="11">
        <f>Table1[[#This Row],[Total Amount]]/12781000</f>
        <v>7.0417025271887956E-3</v>
      </c>
    </row>
    <row r="40" spans="1:9" x14ac:dyDescent="0.2">
      <c r="A40" s="3">
        <v>46255</v>
      </c>
      <c r="B40" s="3" t="s">
        <v>74</v>
      </c>
      <c r="C40" s="2" t="s">
        <v>35</v>
      </c>
      <c r="D40" s="2" t="s">
        <v>16</v>
      </c>
      <c r="E40" s="2" t="s">
        <v>41</v>
      </c>
      <c r="F40" s="2">
        <v>1</v>
      </c>
      <c r="G40" s="2">
        <v>125000</v>
      </c>
      <c r="H40" s="4">
        <v>125000</v>
      </c>
      <c r="I40" s="11">
        <f>Table1[[#This Row],[Total Amount]]/12781000</f>
        <v>9.7801423988733271E-3</v>
      </c>
    </row>
    <row r="41" spans="1:9" x14ac:dyDescent="0.2">
      <c r="A41" s="3">
        <v>46262</v>
      </c>
      <c r="B41" s="3" t="s">
        <v>75</v>
      </c>
      <c r="C41" s="2" t="s">
        <v>38</v>
      </c>
      <c r="D41" s="2" t="s">
        <v>20</v>
      </c>
      <c r="E41" s="2" t="s">
        <v>45</v>
      </c>
      <c r="F41" s="2">
        <v>3</v>
      </c>
      <c r="G41" s="2">
        <v>85000</v>
      </c>
      <c r="H41" s="4">
        <v>255000</v>
      </c>
      <c r="I41" s="11">
        <f>Table1[[#This Row],[Total Amount]]/12781000</f>
        <v>1.9951490493701589E-2</v>
      </c>
    </row>
    <row r="42" spans="1:9" x14ac:dyDescent="0.2">
      <c r="A42" s="3">
        <v>46266</v>
      </c>
      <c r="B42" s="3" t="s">
        <v>76</v>
      </c>
      <c r="C42" s="2" t="s">
        <v>7</v>
      </c>
      <c r="D42" s="2" t="s">
        <v>8</v>
      </c>
      <c r="E42" s="2" t="s">
        <v>47</v>
      </c>
      <c r="F42" s="2">
        <v>3</v>
      </c>
      <c r="G42" s="2">
        <v>65000</v>
      </c>
      <c r="H42" s="4">
        <v>195000</v>
      </c>
      <c r="I42" s="11">
        <f>Table1[[#This Row],[Total Amount]]/12781000</f>
        <v>1.5257022142242392E-2</v>
      </c>
    </row>
    <row r="43" spans="1:9" x14ac:dyDescent="0.2">
      <c r="A43" s="3">
        <v>46272</v>
      </c>
      <c r="B43" s="3" t="s">
        <v>77</v>
      </c>
      <c r="C43" s="2" t="s">
        <v>11</v>
      </c>
      <c r="D43" s="2" t="s">
        <v>12</v>
      </c>
      <c r="E43" s="2" t="s">
        <v>9</v>
      </c>
      <c r="F43" s="2">
        <v>5</v>
      </c>
      <c r="G43" s="2">
        <v>45000</v>
      </c>
      <c r="H43" s="4">
        <v>225000</v>
      </c>
      <c r="I43" s="11">
        <f>Table1[[#This Row],[Total Amount]]/12781000</f>
        <v>1.7604256317971991E-2</v>
      </c>
    </row>
    <row r="44" spans="1:9" x14ac:dyDescent="0.2">
      <c r="A44" s="3">
        <v>46279</v>
      </c>
      <c r="B44" s="3" t="s">
        <v>78</v>
      </c>
      <c r="C44" s="2" t="s">
        <v>15</v>
      </c>
      <c r="D44" s="2" t="s">
        <v>16</v>
      </c>
      <c r="E44" s="2" t="s">
        <v>27</v>
      </c>
      <c r="F44" s="2">
        <v>3</v>
      </c>
      <c r="G44" s="2">
        <v>95000</v>
      </c>
      <c r="H44" s="4">
        <v>285000</v>
      </c>
      <c r="I44" s="11">
        <f>Table1[[#This Row],[Total Amount]]/12781000</f>
        <v>2.2298724669431187E-2</v>
      </c>
    </row>
    <row r="45" spans="1:9" x14ac:dyDescent="0.2">
      <c r="A45" s="3">
        <v>46286</v>
      </c>
      <c r="B45" s="3" t="s">
        <v>79</v>
      </c>
      <c r="C45" s="2" t="s">
        <v>23</v>
      </c>
      <c r="D45" s="2" t="s">
        <v>20</v>
      </c>
      <c r="E45" s="2" t="s">
        <v>33</v>
      </c>
      <c r="F45" s="2">
        <v>2</v>
      </c>
      <c r="G45" s="2">
        <v>60000</v>
      </c>
      <c r="H45" s="4">
        <v>120000</v>
      </c>
      <c r="I45" s="11">
        <f>Table1[[#This Row],[Total Amount]]/12781000</f>
        <v>9.3889367029183941E-3</v>
      </c>
    </row>
    <row r="46" spans="1:9" x14ac:dyDescent="0.2">
      <c r="A46" s="3">
        <v>46293</v>
      </c>
      <c r="B46" s="3" t="s">
        <v>80</v>
      </c>
      <c r="C46" s="2" t="s">
        <v>26</v>
      </c>
      <c r="D46" s="2" t="s">
        <v>8</v>
      </c>
      <c r="E46" s="2" t="s">
        <v>30</v>
      </c>
      <c r="F46" s="2">
        <v>4</v>
      </c>
      <c r="G46" s="2">
        <v>65000</v>
      </c>
      <c r="H46" s="4">
        <v>260000</v>
      </c>
      <c r="I46" s="11">
        <f>Table1[[#This Row],[Total Amount]]/12781000</f>
        <v>2.034269618965652E-2</v>
      </c>
    </row>
    <row r="47" spans="1:9" x14ac:dyDescent="0.2">
      <c r="A47" s="3">
        <v>46296</v>
      </c>
      <c r="B47" s="3" t="s">
        <v>81</v>
      </c>
      <c r="C47" s="2" t="s">
        <v>19</v>
      </c>
      <c r="D47" s="2" t="s">
        <v>12</v>
      </c>
      <c r="E47" s="2" t="s">
        <v>43</v>
      </c>
      <c r="F47" s="2">
        <v>2</v>
      </c>
      <c r="G47" s="2">
        <v>45000</v>
      </c>
      <c r="H47" s="4">
        <v>90000</v>
      </c>
      <c r="I47" s="11">
        <f>Table1[[#This Row],[Total Amount]]/12781000</f>
        <v>7.0417025271887956E-3</v>
      </c>
    </row>
    <row r="48" spans="1:9" x14ac:dyDescent="0.2">
      <c r="A48" s="3">
        <v>46302</v>
      </c>
      <c r="B48" s="3" t="s">
        <v>82</v>
      </c>
      <c r="C48" s="2" t="s">
        <v>29</v>
      </c>
      <c r="D48" s="2" t="s">
        <v>16</v>
      </c>
      <c r="E48" s="2" t="s">
        <v>36</v>
      </c>
      <c r="F48" s="2">
        <v>3</v>
      </c>
      <c r="G48" s="2">
        <v>70000</v>
      </c>
      <c r="H48" s="4">
        <v>210000</v>
      </c>
      <c r="I48" s="11">
        <f>Table1[[#This Row],[Total Amount]]/12781000</f>
        <v>1.6430639230107191E-2</v>
      </c>
    </row>
    <row r="49" spans="1:9" x14ac:dyDescent="0.2">
      <c r="A49" s="3">
        <v>46309</v>
      </c>
      <c r="B49" s="3" t="s">
        <v>83</v>
      </c>
      <c r="C49" s="2" t="s">
        <v>32</v>
      </c>
      <c r="D49" s="2" t="s">
        <v>20</v>
      </c>
      <c r="E49" s="2" t="s">
        <v>13</v>
      </c>
      <c r="F49" s="2">
        <v>3</v>
      </c>
      <c r="G49" s="2">
        <v>55000</v>
      </c>
      <c r="H49" s="4">
        <v>165000</v>
      </c>
      <c r="I49" s="11">
        <f>Table1[[#This Row],[Total Amount]]/12781000</f>
        <v>1.2909787966512792E-2</v>
      </c>
    </row>
    <row r="50" spans="1:9" x14ac:dyDescent="0.2">
      <c r="A50" s="3">
        <v>46316</v>
      </c>
      <c r="B50" s="3" t="s">
        <v>84</v>
      </c>
      <c r="C50" s="2" t="s">
        <v>35</v>
      </c>
      <c r="D50" s="2" t="s">
        <v>8</v>
      </c>
      <c r="E50" s="2" t="s">
        <v>41</v>
      </c>
      <c r="F50" s="2">
        <v>2</v>
      </c>
      <c r="G50" s="2">
        <v>125000</v>
      </c>
      <c r="H50" s="4">
        <v>250000</v>
      </c>
      <c r="I50" s="11">
        <f>Table1[[#This Row],[Total Amount]]/12781000</f>
        <v>1.9560284797746654E-2</v>
      </c>
    </row>
    <row r="51" spans="1:9" x14ac:dyDescent="0.2">
      <c r="A51" s="3">
        <v>46323</v>
      </c>
      <c r="B51" s="3" t="s">
        <v>85</v>
      </c>
      <c r="C51" s="2" t="s">
        <v>38</v>
      </c>
      <c r="D51" s="2" t="s">
        <v>12</v>
      </c>
      <c r="E51" s="2" t="s">
        <v>39</v>
      </c>
      <c r="F51" s="2">
        <v>3</v>
      </c>
      <c r="G51" s="2">
        <v>75000</v>
      </c>
      <c r="H51" s="4">
        <v>225000</v>
      </c>
      <c r="I51" s="11">
        <f>Table1[[#This Row],[Total Amount]]/12781000</f>
        <v>1.7604256317971991E-2</v>
      </c>
    </row>
    <row r="52" spans="1:9" x14ac:dyDescent="0.2">
      <c r="A52" s="3">
        <v>46327</v>
      </c>
      <c r="B52" s="3" t="s">
        <v>86</v>
      </c>
      <c r="C52" s="2" t="s">
        <v>7</v>
      </c>
      <c r="D52" s="2" t="s">
        <v>16</v>
      </c>
      <c r="E52" s="2" t="s">
        <v>9</v>
      </c>
      <c r="F52" s="2">
        <v>4</v>
      </c>
      <c r="G52" s="2">
        <v>45000</v>
      </c>
      <c r="H52" s="4">
        <v>180000</v>
      </c>
      <c r="I52" s="11">
        <f>Table1[[#This Row],[Total Amount]]/12781000</f>
        <v>1.4083405054377591E-2</v>
      </c>
    </row>
    <row r="53" spans="1:9" x14ac:dyDescent="0.2">
      <c r="A53" s="3">
        <v>46333</v>
      </c>
      <c r="B53" s="3" t="s">
        <v>87</v>
      </c>
      <c r="C53" s="2" t="s">
        <v>11</v>
      </c>
      <c r="D53" s="2" t="s">
        <v>20</v>
      </c>
      <c r="E53" s="2" t="s">
        <v>45</v>
      </c>
      <c r="F53" s="2">
        <v>3</v>
      </c>
      <c r="G53" s="2">
        <v>85000</v>
      </c>
      <c r="H53" s="4">
        <v>255000</v>
      </c>
      <c r="I53" s="11">
        <f>Table1[[#This Row],[Total Amount]]/12781000</f>
        <v>1.9951490493701589E-2</v>
      </c>
    </row>
    <row r="54" spans="1:9" x14ac:dyDescent="0.2">
      <c r="A54" s="3">
        <v>46340</v>
      </c>
      <c r="B54" s="3" t="s">
        <v>88</v>
      </c>
      <c r="C54" s="2" t="s">
        <v>15</v>
      </c>
      <c r="D54" s="2" t="s">
        <v>8</v>
      </c>
      <c r="E54" s="2" t="s">
        <v>47</v>
      </c>
      <c r="F54" s="2">
        <v>2</v>
      </c>
      <c r="G54" s="2">
        <v>65000</v>
      </c>
      <c r="H54" s="4">
        <v>130000</v>
      </c>
      <c r="I54" s="11">
        <f>Table1[[#This Row],[Total Amount]]/12781000</f>
        <v>1.017134809482826E-2</v>
      </c>
    </row>
    <row r="55" spans="1:9" x14ac:dyDescent="0.2">
      <c r="A55" s="3">
        <v>46347</v>
      </c>
      <c r="B55" s="3" t="s">
        <v>89</v>
      </c>
      <c r="C55" s="2" t="s">
        <v>23</v>
      </c>
      <c r="D55" s="2" t="s">
        <v>12</v>
      </c>
      <c r="E55" s="2" t="s">
        <v>24</v>
      </c>
      <c r="F55" s="2">
        <v>6</v>
      </c>
      <c r="G55" s="2">
        <v>18000</v>
      </c>
      <c r="H55" s="4">
        <v>108000</v>
      </c>
      <c r="I55" s="11">
        <f>Table1[[#This Row],[Total Amount]]/12781000</f>
        <v>8.4500430326265551E-3</v>
      </c>
    </row>
    <row r="56" spans="1:9" x14ac:dyDescent="0.2">
      <c r="A56" s="3">
        <v>46354</v>
      </c>
      <c r="B56" s="3" t="s">
        <v>90</v>
      </c>
      <c r="C56" s="2" t="s">
        <v>26</v>
      </c>
      <c r="D56" s="2" t="s">
        <v>16</v>
      </c>
      <c r="E56" s="2" t="s">
        <v>27</v>
      </c>
      <c r="F56" s="2">
        <v>3</v>
      </c>
      <c r="G56" s="2">
        <v>95000</v>
      </c>
      <c r="H56" s="4">
        <v>285000</v>
      </c>
      <c r="I56" s="11">
        <f>Table1[[#This Row],[Total Amount]]/12781000</f>
        <v>2.2298724669431187E-2</v>
      </c>
    </row>
    <row r="57" spans="1:9" x14ac:dyDescent="0.2">
      <c r="A57" s="3">
        <v>46357</v>
      </c>
      <c r="B57" s="3" t="s">
        <v>91</v>
      </c>
      <c r="C57" s="2" t="s">
        <v>19</v>
      </c>
      <c r="D57" s="2" t="s">
        <v>20</v>
      </c>
      <c r="E57" s="2" t="s">
        <v>21</v>
      </c>
      <c r="F57" s="2">
        <v>2</v>
      </c>
      <c r="G57" s="2">
        <v>85000</v>
      </c>
      <c r="H57" s="4">
        <v>170000</v>
      </c>
      <c r="I57" s="11">
        <f>Table1[[#This Row],[Total Amount]]/12781000</f>
        <v>1.3300993662467725E-2</v>
      </c>
    </row>
    <row r="58" spans="1:9" x14ac:dyDescent="0.2">
      <c r="A58" s="3">
        <v>46363</v>
      </c>
      <c r="B58" s="3" t="s">
        <v>92</v>
      </c>
      <c r="C58" s="2" t="s">
        <v>29</v>
      </c>
      <c r="D58" s="2" t="s">
        <v>8</v>
      </c>
      <c r="E58" s="2" t="s">
        <v>36</v>
      </c>
      <c r="F58" s="2">
        <v>3</v>
      </c>
      <c r="G58" s="2">
        <v>70000</v>
      </c>
      <c r="H58" s="4">
        <v>210000</v>
      </c>
      <c r="I58" s="11">
        <f>Table1[[#This Row],[Total Amount]]/12781000</f>
        <v>1.6430639230107191E-2</v>
      </c>
    </row>
    <row r="59" spans="1:9" x14ac:dyDescent="0.2">
      <c r="A59" s="3">
        <v>46370</v>
      </c>
      <c r="B59" s="3" t="s">
        <v>93</v>
      </c>
      <c r="C59" s="2" t="s">
        <v>32</v>
      </c>
      <c r="D59" s="2" t="s">
        <v>12</v>
      </c>
      <c r="E59" s="2" t="s">
        <v>13</v>
      </c>
      <c r="F59" s="2">
        <v>4</v>
      </c>
      <c r="G59" s="2">
        <v>55000</v>
      </c>
      <c r="H59" s="4">
        <v>220000</v>
      </c>
      <c r="I59" s="11">
        <f>Table1[[#This Row],[Total Amount]]/12781000</f>
        <v>1.7213050622017056E-2</v>
      </c>
    </row>
    <row r="60" spans="1:9" x14ac:dyDescent="0.2">
      <c r="A60" s="3">
        <v>46377</v>
      </c>
      <c r="B60" s="3" t="s">
        <v>94</v>
      </c>
      <c r="C60" s="2" t="s">
        <v>35</v>
      </c>
      <c r="D60" s="2" t="s">
        <v>16</v>
      </c>
      <c r="E60" s="2" t="s">
        <v>41</v>
      </c>
      <c r="F60" s="2">
        <v>2</v>
      </c>
      <c r="G60" s="2">
        <v>125000</v>
      </c>
      <c r="H60" s="4">
        <v>250000</v>
      </c>
      <c r="I60" s="11">
        <f>Table1[[#This Row],[Total Amount]]/12781000</f>
        <v>1.9560284797746654E-2</v>
      </c>
    </row>
    <row r="61" spans="1:9" x14ac:dyDescent="0.2">
      <c r="A61" s="3">
        <v>46384</v>
      </c>
      <c r="B61" s="3" t="s">
        <v>95</v>
      </c>
      <c r="C61" s="2" t="s">
        <v>38</v>
      </c>
      <c r="D61" s="2" t="s">
        <v>20</v>
      </c>
      <c r="E61" s="2" t="s">
        <v>30</v>
      </c>
      <c r="F61" s="2">
        <v>5</v>
      </c>
      <c r="G61" s="2">
        <v>65000</v>
      </c>
      <c r="H61" s="4">
        <v>325000</v>
      </c>
      <c r="I61" s="11">
        <f>Table1[[#This Row],[Total Amount]]/12781000</f>
        <v>2.542837023707065E-2</v>
      </c>
    </row>
    <row r="62" spans="1:9" ht="15" x14ac:dyDescent="0.2">
      <c r="A62" s="3"/>
      <c r="B62" s="6">
        <f>SUBTOTAL(103,Table1[Invoice No])</f>
        <v>60</v>
      </c>
      <c r="C62" s="2"/>
      <c r="D62" s="2"/>
      <c r="E62" s="2"/>
      <c r="F62" s="2">
        <f>SUBTOTAL(109,Table1[Quantity])</f>
        <v>207</v>
      </c>
      <c r="G62" s="2"/>
      <c r="H62" s="5">
        <f>SUM(Table1[Total Amount])</f>
        <v>12781000</v>
      </c>
      <c r="I62"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A3" sqref="A3:A4"/>
    </sheetView>
  </sheetViews>
  <sheetFormatPr defaultRowHeight="14.25" x14ac:dyDescent="0.2"/>
  <cols>
    <col min="1" max="1" width="15.125" bestFit="1" customWidth="1"/>
    <col min="2" max="2" width="15" customWidth="1"/>
    <col min="3" max="3" width="12.125" customWidth="1"/>
  </cols>
  <sheetData>
    <row r="3" spans="1:3" x14ac:dyDescent="0.2">
      <c r="A3" s="7" t="s">
        <v>100</v>
      </c>
      <c r="B3" t="s">
        <v>98</v>
      </c>
      <c r="C3" t="s">
        <v>5</v>
      </c>
    </row>
    <row r="4" spans="1:3" x14ac:dyDescent="0.2">
      <c r="A4" s="8" t="s">
        <v>38</v>
      </c>
      <c r="B4" s="9">
        <v>22</v>
      </c>
      <c r="C4" s="10">
        <v>1670000</v>
      </c>
    </row>
    <row r="5" spans="1:3" x14ac:dyDescent="0.2">
      <c r="A5" s="8" t="s">
        <v>26</v>
      </c>
      <c r="B5" s="9">
        <v>27</v>
      </c>
      <c r="C5" s="10">
        <v>1593000</v>
      </c>
    </row>
    <row r="6" spans="1:3" x14ac:dyDescent="0.2">
      <c r="A6" s="8" t="s">
        <v>11</v>
      </c>
      <c r="B6" s="9">
        <v>24</v>
      </c>
      <c r="C6" s="10">
        <v>1550000</v>
      </c>
    </row>
    <row r="7" spans="1:3" x14ac:dyDescent="0.2">
      <c r="A7" s="8" t="s">
        <v>15</v>
      </c>
      <c r="B7" s="9">
        <v>21</v>
      </c>
      <c r="C7" s="10">
        <v>1535000</v>
      </c>
    </row>
    <row r="8" spans="1:3" x14ac:dyDescent="0.2">
      <c r="A8" s="8" t="s">
        <v>29</v>
      </c>
      <c r="B8" s="9">
        <v>19</v>
      </c>
      <c r="C8" s="10">
        <v>1315000</v>
      </c>
    </row>
    <row r="9" spans="1:3" x14ac:dyDescent="0.2">
      <c r="A9" s="8" t="s">
        <v>35</v>
      </c>
      <c r="B9" s="9">
        <v>11</v>
      </c>
      <c r="C9" s="10">
        <v>1210000</v>
      </c>
    </row>
    <row r="10" spans="1:3" x14ac:dyDescent="0.2">
      <c r="A10" s="8" t="s">
        <v>23</v>
      </c>
      <c r="B10" s="9">
        <v>24</v>
      </c>
      <c r="C10" s="10">
        <v>1036000</v>
      </c>
    </row>
    <row r="11" spans="1:3" x14ac:dyDescent="0.2">
      <c r="A11" s="8" t="s">
        <v>7</v>
      </c>
      <c r="B11" s="9">
        <v>20</v>
      </c>
      <c r="C11" s="10">
        <v>1029000</v>
      </c>
    </row>
    <row r="12" spans="1:3" x14ac:dyDescent="0.2">
      <c r="A12" s="8" t="s">
        <v>32</v>
      </c>
      <c r="B12" s="9">
        <v>25</v>
      </c>
      <c r="C12" s="10">
        <v>941000</v>
      </c>
    </row>
    <row r="13" spans="1:3" x14ac:dyDescent="0.2">
      <c r="A13" s="8" t="s">
        <v>19</v>
      </c>
      <c r="B13" s="9">
        <v>14</v>
      </c>
      <c r="C13" s="10">
        <v>902000</v>
      </c>
    </row>
    <row r="14" spans="1:3" x14ac:dyDescent="0.2">
      <c r="A14" s="8" t="s">
        <v>97</v>
      </c>
      <c r="B14" s="9">
        <v>207</v>
      </c>
      <c r="C14" s="10">
        <v>12781000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9"/>
  <sheetViews>
    <sheetView workbookViewId="0">
      <selection activeCell="D16" sqref="D16"/>
    </sheetView>
  </sheetViews>
  <sheetFormatPr defaultRowHeight="14.25" x14ac:dyDescent="0.2"/>
  <cols>
    <col min="1" max="1" width="11.375" customWidth="1"/>
    <col min="2" max="2" width="13.375" customWidth="1"/>
    <col min="3" max="3" width="19.75" customWidth="1"/>
    <col min="4" max="4" width="12.125" customWidth="1"/>
  </cols>
  <sheetData>
    <row r="4" spans="1:4" x14ac:dyDescent="0.2">
      <c r="A4" s="7" t="s">
        <v>103</v>
      </c>
      <c r="B4" t="s">
        <v>96</v>
      </c>
      <c r="C4" s="12" t="s">
        <v>102</v>
      </c>
      <c r="D4" t="s">
        <v>5</v>
      </c>
    </row>
    <row r="5" spans="1:4" x14ac:dyDescent="0.2">
      <c r="A5" s="8" t="s">
        <v>16</v>
      </c>
      <c r="B5" s="9">
        <v>46</v>
      </c>
      <c r="C5" s="12">
        <v>0.25091933338549405</v>
      </c>
      <c r="D5" s="10">
        <v>3207000</v>
      </c>
    </row>
    <row r="6" spans="1:4" x14ac:dyDescent="0.2">
      <c r="A6" s="8" t="s">
        <v>8</v>
      </c>
      <c r="B6" s="9">
        <v>52</v>
      </c>
      <c r="C6" s="12">
        <v>0.27188795868867849</v>
      </c>
      <c r="D6" s="10">
        <v>3475000</v>
      </c>
    </row>
    <row r="7" spans="1:4" x14ac:dyDescent="0.2">
      <c r="A7" s="8" t="s">
        <v>12</v>
      </c>
      <c r="B7" s="9">
        <v>50</v>
      </c>
      <c r="C7" s="12">
        <v>0.21007745872779909</v>
      </c>
      <c r="D7" s="10">
        <v>2685000</v>
      </c>
    </row>
    <row r="8" spans="1:4" x14ac:dyDescent="0.2">
      <c r="A8" s="8" t="s">
        <v>20</v>
      </c>
      <c r="B8" s="9">
        <v>59</v>
      </c>
      <c r="C8" s="12">
        <v>0.26711524919802837</v>
      </c>
      <c r="D8" s="10">
        <v>3414000</v>
      </c>
    </row>
    <row r="9" spans="1:4" x14ac:dyDescent="0.2">
      <c r="A9" s="8" t="s">
        <v>97</v>
      </c>
      <c r="B9" s="9">
        <v>207</v>
      </c>
      <c r="C9" s="12">
        <v>1</v>
      </c>
      <c r="D9" s="10">
        <v>12781000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C19"/>
  <sheetViews>
    <sheetView workbookViewId="0">
      <selection activeCell="G18" sqref="G18"/>
    </sheetView>
  </sheetViews>
  <sheetFormatPr defaultRowHeight="14.25" x14ac:dyDescent="0.2"/>
  <cols>
    <col min="1" max="1" width="19.625" customWidth="1"/>
    <col min="2" max="2" width="14.75" bestFit="1" customWidth="1"/>
    <col min="3" max="3" width="15" bestFit="1" customWidth="1"/>
  </cols>
  <sheetData>
    <row r="5" spans="1:3" x14ac:dyDescent="0.2">
      <c r="A5" s="8"/>
      <c r="B5" s="10"/>
      <c r="C5" s="9"/>
    </row>
    <row r="6" spans="1:3" x14ac:dyDescent="0.2">
      <c r="A6" s="8"/>
      <c r="B6" s="10"/>
      <c r="C6" s="9"/>
    </row>
    <row r="7" spans="1:3" x14ac:dyDescent="0.2">
      <c r="A7" s="8"/>
      <c r="B7" s="10"/>
      <c r="C7" s="9"/>
    </row>
    <row r="8" spans="1:3" x14ac:dyDescent="0.2">
      <c r="A8" s="8"/>
      <c r="B8" s="10"/>
      <c r="C8" s="9"/>
    </row>
    <row r="9" spans="1:3" x14ac:dyDescent="0.2">
      <c r="A9" s="8"/>
      <c r="B9" s="10"/>
      <c r="C9" s="9"/>
    </row>
    <row r="10" spans="1:3" x14ac:dyDescent="0.2">
      <c r="A10" s="8"/>
      <c r="B10" s="10"/>
      <c r="C10" s="9"/>
    </row>
    <row r="11" spans="1:3" x14ac:dyDescent="0.2">
      <c r="A11" s="8"/>
      <c r="B11" s="10"/>
      <c r="C11" s="9"/>
    </row>
    <row r="12" spans="1:3" x14ac:dyDescent="0.2">
      <c r="A12" s="8"/>
      <c r="B12" s="10"/>
      <c r="C12" s="9"/>
    </row>
    <row r="13" spans="1:3" x14ac:dyDescent="0.2">
      <c r="A13" s="8"/>
      <c r="B13" s="10"/>
      <c r="C13" s="9"/>
    </row>
    <row r="14" spans="1:3" x14ac:dyDescent="0.2">
      <c r="A14" s="8"/>
      <c r="B14" s="10"/>
      <c r="C14" s="9"/>
    </row>
    <row r="15" spans="1:3" x14ac:dyDescent="0.2">
      <c r="A15" s="8"/>
      <c r="B15" s="10"/>
      <c r="C15" s="9"/>
    </row>
    <row r="16" spans="1:3" x14ac:dyDescent="0.2">
      <c r="A16" s="8"/>
      <c r="B16" s="10"/>
      <c r="C16" s="9"/>
    </row>
    <row r="17" spans="1:3" x14ac:dyDescent="0.2">
      <c r="A17" s="8"/>
      <c r="B17" s="10"/>
      <c r="C17" s="9"/>
    </row>
    <row r="18" spans="1:3" x14ac:dyDescent="0.2">
      <c r="A18" s="8"/>
      <c r="B18" s="10"/>
      <c r="C18" s="9"/>
    </row>
    <row r="19" spans="1:3" x14ac:dyDescent="0.2">
      <c r="A19" s="8"/>
      <c r="B19" s="10"/>
      <c r="C19"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showGridLines="0" tabSelected="1" workbookViewId="0">
      <selection activeCell="F5" sqref="F5"/>
    </sheetView>
  </sheetViews>
  <sheetFormatPr defaultRowHeight="14.25" x14ac:dyDescent="0.2"/>
  <cols>
    <col min="1" max="1" width="39.125" bestFit="1" customWidth="1"/>
    <col min="2" max="2" width="10.75" customWidth="1"/>
    <col min="3" max="3" width="18.125" customWidth="1"/>
    <col min="4" max="4" width="8.625" customWidth="1"/>
    <col min="5" max="5" width="11.375" bestFit="1" customWidth="1"/>
  </cols>
  <sheetData>
    <row r="1" spans="1:2" ht="23.25" x14ac:dyDescent="0.35">
      <c r="A1" s="28" t="s">
        <v>128</v>
      </c>
      <c r="B1" s="16"/>
    </row>
    <row r="2" spans="1:2" x14ac:dyDescent="0.2">
      <c r="A2" s="27" t="s">
        <v>127</v>
      </c>
    </row>
    <row r="4" spans="1:2" ht="15.75" x14ac:dyDescent="0.25">
      <c r="A4" s="18" t="s">
        <v>126</v>
      </c>
      <c r="B4" s="17"/>
    </row>
    <row r="5" spans="1:2" ht="15.75" x14ac:dyDescent="0.25">
      <c r="A5" s="26"/>
    </row>
    <row r="6" spans="1:2" ht="15" x14ac:dyDescent="0.25">
      <c r="A6" s="25" t="s">
        <v>125</v>
      </c>
      <c r="B6" s="25" t="s">
        <v>124</v>
      </c>
    </row>
    <row r="7" spans="1:2" x14ac:dyDescent="0.2">
      <c r="A7" s="21" t="s">
        <v>5</v>
      </c>
      <c r="B7" s="24" t="e">
        <f>SUM(#REF!)</f>
        <v>#REF!</v>
      </c>
    </row>
    <row r="8" spans="1:2" x14ac:dyDescent="0.2">
      <c r="A8" s="21" t="s">
        <v>96</v>
      </c>
      <c r="B8" s="21">
        <v>171</v>
      </c>
    </row>
    <row r="9" spans="1:2" x14ac:dyDescent="0.2">
      <c r="A9" s="21" t="s">
        <v>123</v>
      </c>
      <c r="B9" s="21">
        <v>20</v>
      </c>
    </row>
    <row r="10" spans="1:2" x14ac:dyDescent="0.2">
      <c r="A10" s="21" t="s">
        <v>122</v>
      </c>
      <c r="B10" s="23" t="e">
        <f>B7/B9</f>
        <v>#REF!</v>
      </c>
    </row>
    <row r="11" spans="1:2" x14ac:dyDescent="0.2">
      <c r="A11" s="21" t="s">
        <v>121</v>
      </c>
      <c r="B11" s="22">
        <v>46062</v>
      </c>
    </row>
    <row r="12" spans="1:2" x14ac:dyDescent="0.2">
      <c r="A12" s="21" t="s">
        <v>120</v>
      </c>
      <c r="B12" s="20">
        <v>46063</v>
      </c>
    </row>
    <row r="15" spans="1:2" ht="15.75" x14ac:dyDescent="0.25">
      <c r="A15" s="18" t="s">
        <v>119</v>
      </c>
      <c r="B15" s="17"/>
    </row>
    <row r="17" spans="1:3" x14ac:dyDescent="0.2">
      <c r="A17" s="16" t="s">
        <v>100</v>
      </c>
      <c r="B17" s="16" t="s">
        <v>5</v>
      </c>
      <c r="C17" s="16" t="s">
        <v>118</v>
      </c>
    </row>
    <row r="18" spans="1:3" x14ac:dyDescent="0.2">
      <c r="A18" s="8" t="s">
        <v>117</v>
      </c>
      <c r="B18" s="10">
        <v>39200</v>
      </c>
      <c r="C18" s="12">
        <v>0.35766423357664234</v>
      </c>
    </row>
    <row r="19" spans="1:3" x14ac:dyDescent="0.2">
      <c r="A19" s="8" t="s">
        <v>116</v>
      </c>
      <c r="B19" s="10">
        <v>37900</v>
      </c>
      <c r="C19" s="12">
        <v>0.34580291970802918</v>
      </c>
    </row>
    <row r="20" spans="1:3" x14ac:dyDescent="0.2">
      <c r="A20" s="8" t="s">
        <v>115</v>
      </c>
      <c r="B20" s="10">
        <v>32500</v>
      </c>
      <c r="C20" s="12">
        <v>0.29653284671532842</v>
      </c>
    </row>
    <row r="21" spans="1:3" x14ac:dyDescent="0.2">
      <c r="A21" s="15" t="s">
        <v>97</v>
      </c>
      <c r="B21" s="14">
        <v>109600</v>
      </c>
      <c r="C21" s="19">
        <v>1</v>
      </c>
    </row>
    <row r="38" spans="1:5" ht="15.75" x14ac:dyDescent="0.25">
      <c r="A38" s="18" t="s">
        <v>114</v>
      </c>
      <c r="B38" s="17"/>
    </row>
    <row r="40" spans="1:5" x14ac:dyDescent="0.2">
      <c r="A40" s="16" t="s">
        <v>5</v>
      </c>
      <c r="B40" s="16" t="s">
        <v>113</v>
      </c>
      <c r="C40" s="16"/>
      <c r="D40" s="16"/>
      <c r="E40" s="16"/>
    </row>
    <row r="41" spans="1:5" x14ac:dyDescent="0.2">
      <c r="A41" s="16" t="s">
        <v>103</v>
      </c>
      <c r="B41" s="16" t="s">
        <v>112</v>
      </c>
      <c r="C41" s="16" t="s">
        <v>111</v>
      </c>
      <c r="D41" s="16" t="s">
        <v>110</v>
      </c>
      <c r="E41" s="16" t="s">
        <v>97</v>
      </c>
    </row>
    <row r="42" spans="1:5" x14ac:dyDescent="0.2">
      <c r="A42" s="8" t="s">
        <v>16</v>
      </c>
      <c r="B42" s="10">
        <v>7200</v>
      </c>
      <c r="C42" s="10">
        <v>3600</v>
      </c>
      <c r="D42" s="10">
        <v>7200</v>
      </c>
      <c r="E42" s="10">
        <v>18000</v>
      </c>
    </row>
    <row r="43" spans="1:5" x14ac:dyDescent="0.2">
      <c r="A43" s="8" t="s">
        <v>8</v>
      </c>
      <c r="B43" s="10">
        <v>9900</v>
      </c>
      <c r="C43" s="10">
        <v>7700</v>
      </c>
      <c r="D43" s="10">
        <v>7700</v>
      </c>
      <c r="E43" s="10">
        <v>25300</v>
      </c>
    </row>
    <row r="44" spans="1:5" x14ac:dyDescent="0.2">
      <c r="A44" s="8" t="s">
        <v>12</v>
      </c>
      <c r="B44" s="10">
        <v>11200</v>
      </c>
      <c r="C44" s="10">
        <v>19200</v>
      </c>
      <c r="D44" s="10">
        <v>10400</v>
      </c>
      <c r="E44" s="10">
        <v>40800</v>
      </c>
    </row>
    <row r="45" spans="1:5" x14ac:dyDescent="0.2">
      <c r="A45" s="8" t="s">
        <v>20</v>
      </c>
      <c r="B45" s="10">
        <v>3000</v>
      </c>
      <c r="C45" s="10">
        <v>11000</v>
      </c>
      <c r="D45" s="10">
        <v>11500</v>
      </c>
      <c r="E45" s="10">
        <v>25500</v>
      </c>
    </row>
    <row r="46" spans="1:5" x14ac:dyDescent="0.2">
      <c r="A46" s="15" t="s">
        <v>97</v>
      </c>
      <c r="B46" s="14">
        <v>31300</v>
      </c>
      <c r="C46" s="14">
        <v>41500</v>
      </c>
      <c r="D46" s="14">
        <v>36800</v>
      </c>
      <c r="E46" s="14">
        <v>109600</v>
      </c>
    </row>
    <row r="64" spans="1:2" ht="15.75" x14ac:dyDescent="0.25">
      <c r="A64" s="18" t="s">
        <v>109</v>
      </c>
      <c r="B64" s="17"/>
    </row>
    <row r="66" spans="1:3" x14ac:dyDescent="0.2">
      <c r="A66" s="16" t="s">
        <v>108</v>
      </c>
      <c r="B66" s="16" t="s">
        <v>5</v>
      </c>
      <c r="C66" s="16" t="s">
        <v>96</v>
      </c>
    </row>
    <row r="67" spans="1:3" x14ac:dyDescent="0.2">
      <c r="A67" s="8" t="s">
        <v>107</v>
      </c>
      <c r="B67" s="10">
        <v>40800</v>
      </c>
      <c r="C67" s="9">
        <v>51</v>
      </c>
    </row>
    <row r="68" spans="1:3" x14ac:dyDescent="0.2">
      <c r="A68" s="8" t="s">
        <v>106</v>
      </c>
      <c r="B68" s="10">
        <v>30500</v>
      </c>
      <c r="C68" s="9">
        <v>61</v>
      </c>
    </row>
    <row r="69" spans="1:3" x14ac:dyDescent="0.2">
      <c r="A69" s="8" t="s">
        <v>105</v>
      </c>
      <c r="B69" s="10">
        <v>20300</v>
      </c>
      <c r="C69" s="9">
        <v>29</v>
      </c>
    </row>
    <row r="70" spans="1:3" x14ac:dyDescent="0.2">
      <c r="A70" s="8" t="s">
        <v>104</v>
      </c>
      <c r="B70" s="10">
        <v>18000</v>
      </c>
      <c r="C70" s="9">
        <v>30</v>
      </c>
    </row>
    <row r="71" spans="1:3" x14ac:dyDescent="0.2">
      <c r="A71" s="15" t="s">
        <v>97</v>
      </c>
      <c r="B71" s="14">
        <v>109600</v>
      </c>
      <c r="C71" s="13">
        <v>171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SALEPERSON</vt:lpstr>
      <vt:lpstr>REGION</vt:lpstr>
      <vt:lpstr>PRODUCT</vt:lpstr>
      <vt:lpstr>Weekly Sales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2026-02-21T14:16:09Z</dcterms:created>
  <dcterms:modified xsi:type="dcterms:W3CDTF">2026-02-23T13:42:52Z</dcterms:modified>
</cp:coreProperties>
</file>