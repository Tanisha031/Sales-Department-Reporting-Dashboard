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15" windowHeight="7065" activeTab="3"/>
  </bookViews>
  <sheets>
    <sheet name="Data" sheetId="1" r:id="rId1"/>
    <sheet name="Data Table" sheetId="2" r:id="rId2"/>
    <sheet name="Pivot Table" sheetId="3" r:id="rId3"/>
    <sheet name="Daily Sales Report" sheetId="5" r:id="rId4"/>
  </sheets>
  <calcPr calcId="162913"/>
  <pivotCaches>
    <pivotCache cacheId="15" r:id="rId5"/>
    <pivotCache cacheId="16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5" l="1"/>
  <c r="B6" i="5"/>
  <c r="B7" i="5"/>
  <c r="F12" i="2" l="1"/>
  <c r="H12" i="2"/>
</calcChain>
</file>

<file path=xl/sharedStrings.xml><?xml version="1.0" encoding="utf-8"?>
<sst xmlns="http://schemas.openxmlformats.org/spreadsheetml/2006/main" count="161" uniqueCount="54">
  <si>
    <t>Date</t>
  </si>
  <si>
    <t>Invoice No</t>
  </si>
  <si>
    <t>Salesperson</t>
  </si>
  <si>
    <t>Region</t>
  </si>
  <si>
    <t>Product</t>
  </si>
  <si>
    <t>Quantity</t>
  </si>
  <si>
    <t>Unit Price</t>
  </si>
  <si>
    <t>Total Amount</t>
  </si>
  <si>
    <t>INV001</t>
  </si>
  <si>
    <t>Ali</t>
  </si>
  <si>
    <t>North</t>
  </si>
  <si>
    <t>Product A</t>
  </si>
  <si>
    <t>INV002</t>
  </si>
  <si>
    <t>Sara</t>
  </si>
  <si>
    <t>South</t>
  </si>
  <si>
    <t>Product B</t>
  </si>
  <si>
    <t>INV003</t>
  </si>
  <si>
    <t>Ahmed</t>
  </si>
  <si>
    <t>East</t>
  </si>
  <si>
    <t>Product C</t>
  </si>
  <si>
    <t>INV004</t>
  </si>
  <si>
    <t>West</t>
  </si>
  <si>
    <t>INV005</t>
  </si>
  <si>
    <t>Product D</t>
  </si>
  <si>
    <t>INV006</t>
  </si>
  <si>
    <t>INV007</t>
  </si>
  <si>
    <t>INV008</t>
  </si>
  <si>
    <t>INV009</t>
  </si>
  <si>
    <t>INV010</t>
  </si>
  <si>
    <t>Grand Total</t>
  </si>
  <si>
    <t>Total Sales</t>
  </si>
  <si>
    <t>Regions</t>
  </si>
  <si>
    <t>Salespersons</t>
  </si>
  <si>
    <t>Total Sales by each Salesperson</t>
  </si>
  <si>
    <t>Total Region wise sales performance</t>
  </si>
  <si>
    <t>Products</t>
  </si>
  <si>
    <t>Quantity Sold</t>
  </si>
  <si>
    <t>Product wise sales</t>
  </si>
  <si>
    <t>Chart 3 – Product Performance</t>
  </si>
  <si>
    <t>Chart 2 – Region Sales</t>
  </si>
  <si>
    <t>Chart 1 – Salesperson Performance</t>
  </si>
  <si>
    <t>SECTION 5 – Charts</t>
  </si>
  <si>
    <t>Total Quantity</t>
  </si>
  <si>
    <t>SECTION 4– PRODUCT ANALYSIS</t>
  </si>
  <si>
    <t>SECTION 3 – REGION ANALYSIS</t>
  </si>
  <si>
    <t>SECTION 2 – SALESPERSON ANALYSIS</t>
  </si>
  <si>
    <t>Best Selling Product</t>
  </si>
  <si>
    <t>Top Region</t>
  </si>
  <si>
    <t>Top Salesperson</t>
  </si>
  <si>
    <t>Total Invoices</t>
  </si>
  <si>
    <t>Total Quantity Sold</t>
  </si>
  <si>
    <t>SECTION 1 – SUMMARY</t>
  </si>
  <si>
    <t>Date: 01-02-2026</t>
  </si>
  <si>
    <t>DAILY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</si>
</sst>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8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/>
    <xf numFmtId="0" fontId="1" fillId="3" borderId="0" xfId="0" applyFont="1" applyFill="1"/>
    <xf numFmtId="0" fontId="0" fillId="2" borderId="0" xfId="0" applyFill="1"/>
    <xf numFmtId="0" fontId="1" fillId="2" borderId="0" xfId="0" applyFont="1" applyFill="1"/>
    <xf numFmtId="164" fontId="0" fillId="0" borderId="0" xfId="0" applyNumberFormat="1"/>
    <xf numFmtId="0" fontId="0" fillId="0" borderId="1" xfId="0" applyBorder="1"/>
    <xf numFmtId="0" fontId="0" fillId="0" borderId="1" xfId="0" applyBorder="1" applyAlignment="1">
      <alignment vertical="center" wrapText="1"/>
    </xf>
    <xf numFmtId="164" fontId="0" fillId="0" borderId="1" xfId="1" applyNumberFormat="1" applyFont="1" applyBorder="1" applyAlignment="1">
      <alignment vertical="center" wrapText="1"/>
    </xf>
    <xf numFmtId="0" fontId="3" fillId="0" borderId="0" xfId="0" applyFont="1"/>
  </cellXfs>
  <cellStyles count="2">
    <cellStyle name="Currency" xfId="1" builtinId="4"/>
    <cellStyle name="Normal" xfId="0" builtinId="0"/>
  </cellStyles>
  <dxfs count="27">
    <dxf>
      <numFmt numFmtId="34" formatCode="_(&quot;$&quot;* #,##0.00_);_(&quot;$&quot;* \(#,##0.00\);_(&quot;$&quot;* &quot;-&quot;??_);_(@_)"/>
    </dxf>
    <dxf>
      <numFmt numFmtId="165" formatCode="_(&quot;$&quot;* #,##0.0_);_(&quot;$&quot;* \(#,##0.0\);_(&quot;$&quot;* &quot;-&quot;??_);_(@_)"/>
    </dxf>
    <dxf>
      <numFmt numFmtId="164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165" formatCode="_(&quot;$&quot;* #,##0.0_);_(&quot;$&quot;* \(#,##0.0\);_(&quot;$&quot;* &quot;-&quot;??_);_(@_)"/>
    </dxf>
    <dxf>
      <numFmt numFmtId="164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165" formatCode="_(&quot;$&quot;* #,##0.0_);_(&quot;$&quot;* \(#,##0.0\);_(&quot;$&quot;* &quot;-&quot;??_);_(@_)"/>
    </dxf>
    <dxf>
      <numFmt numFmtId="164" formatCode="_(&quot;$&quot;* #,##0_);_(&quot;$&quot;* \(#,##0\);_(&quot;$&quot;* &quot;-&quot;??_);_(@_)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"/>
      <alignment horizontal="general" vertical="center" textRotation="0" wrapText="1" indent="0" justifyLastLine="0" shrinkToFit="0" readingOrder="0"/>
    </dxf>
    <dxf>
      <numFmt numFmtId="19" formatCode="dd/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 Sales Report.xlsx]Pivot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 Sales</a:t>
            </a:r>
            <a:r>
              <a:rPr lang="en-US" baseline="0"/>
              <a:t> of Salesperson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ur-PK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Table'!$A$4:$A$7</c:f>
              <c:strCache>
                <c:ptCount val="3"/>
                <c:pt idx="0">
                  <c:v>Ali</c:v>
                </c:pt>
                <c:pt idx="1">
                  <c:v>Sara</c:v>
                </c:pt>
                <c:pt idx="2">
                  <c:v>Ahmed</c:v>
                </c:pt>
              </c:strCache>
            </c:strRef>
          </c:cat>
          <c:val>
            <c:numRef>
              <c:f>'Pivot Table'!$B$4:$B$7</c:f>
              <c:numCache>
                <c:formatCode>General</c:formatCode>
                <c:ptCount val="3"/>
                <c:pt idx="0">
                  <c:v>22400</c:v>
                </c:pt>
                <c:pt idx="1">
                  <c:v>14900</c:v>
                </c:pt>
                <c:pt idx="2">
                  <c:v>14100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7-438E-AF96-0DDC64C77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43321152"/>
        <c:axId val="1743317824"/>
      </c:barChart>
      <c:catAx>
        <c:axId val="174332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r-PK"/>
          </a:p>
        </c:txPr>
        <c:crossAx val="1743317824"/>
        <c:crosses val="autoZero"/>
        <c:auto val="1"/>
        <c:lblAlgn val="ctr"/>
        <c:lblOffset val="100"/>
        <c:noMultiLvlLbl val="0"/>
      </c:catAx>
      <c:valAx>
        <c:axId val="174331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r-PK"/>
          </a:p>
        </c:txPr>
        <c:crossAx val="1743321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ur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 Sales Report.xlsx]Pivot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Regions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ur-PK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Table'!$G$4:$G$8</c:f>
              <c:strCache>
                <c:ptCount val="4"/>
                <c:pt idx="0">
                  <c:v>South</c:v>
                </c:pt>
                <c:pt idx="1">
                  <c:v>North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'Pivot Table'!$H$4:$H$8</c:f>
              <c:numCache>
                <c:formatCode>General</c:formatCode>
                <c:ptCount val="4"/>
                <c:pt idx="0">
                  <c:v>23200</c:v>
                </c:pt>
                <c:pt idx="1">
                  <c:v>12000</c:v>
                </c:pt>
                <c:pt idx="2">
                  <c:v>9000</c:v>
                </c:pt>
                <c:pt idx="3">
                  <c:v>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6-469A-9CF9-BA2B3DA5D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43320320"/>
        <c:axId val="1743314912"/>
      </c:barChart>
      <c:catAx>
        <c:axId val="174332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r-PK"/>
          </a:p>
        </c:txPr>
        <c:crossAx val="1743314912"/>
        <c:crosses val="autoZero"/>
        <c:auto val="1"/>
        <c:lblAlgn val="ctr"/>
        <c:lblOffset val="100"/>
        <c:noMultiLvlLbl val="0"/>
      </c:catAx>
      <c:valAx>
        <c:axId val="174331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r-PK"/>
          </a:p>
        </c:txPr>
        <c:crossAx val="174332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ur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 Sales Report.xlsx]Daily Sales Report!PivotTable7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Salesperson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ur-PK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Sales Report'!$B$13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'Daily Sales Report'!$A$14:$A$17</c:f>
              <c:strCache>
                <c:ptCount val="3"/>
                <c:pt idx="0">
                  <c:v>Ali</c:v>
                </c:pt>
                <c:pt idx="1">
                  <c:v>Sara</c:v>
                </c:pt>
                <c:pt idx="2">
                  <c:v>Ahmed</c:v>
                </c:pt>
              </c:strCache>
            </c:strRef>
          </c:cat>
          <c:val>
            <c:numRef>
              <c:f>'Daily Sales Report'!$B$14:$B$17</c:f>
              <c:numCache>
                <c:formatCode>_("$"* #,##0_);_("$"* \(#,##0\);_("$"* "-"??_);_(@_)</c:formatCode>
                <c:ptCount val="3"/>
                <c:pt idx="0">
                  <c:v>22400</c:v>
                </c:pt>
                <c:pt idx="1">
                  <c:v>14900</c:v>
                </c:pt>
                <c:pt idx="2">
                  <c:v>14100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6-40A5-8907-97BAF75714FA}"/>
            </c:ext>
          </c:extLst>
        </c:ser>
        <c:ser>
          <c:idx val="1"/>
          <c:order val="1"/>
          <c:tx>
            <c:strRef>
              <c:f>'Daily Sales Report'!$C$13</c:f>
              <c:strCache>
                <c:ptCount val="1"/>
                <c:pt idx="0">
                  <c:v>Total Quantity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'Daily Sales Report'!$A$14:$A$17</c:f>
              <c:strCache>
                <c:ptCount val="3"/>
                <c:pt idx="0">
                  <c:v>Ali</c:v>
                </c:pt>
                <c:pt idx="1">
                  <c:v>Sara</c:v>
                </c:pt>
                <c:pt idx="2">
                  <c:v>Ahmed</c:v>
                </c:pt>
              </c:strCache>
            </c:strRef>
          </c:cat>
          <c:val>
            <c:numRef>
              <c:f>'Daily Sales Report'!$C$14:$C$17</c:f>
              <c:numCache>
                <c:formatCode>General</c:formatCode>
                <c:ptCount val="3"/>
                <c:pt idx="0">
                  <c:v>35</c:v>
                </c:pt>
                <c:pt idx="1">
                  <c:v>24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B6-40A5-8907-97BAF7571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43320320"/>
        <c:axId val="1743315744"/>
      </c:barChart>
      <c:catAx>
        <c:axId val="174332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ur-PK"/>
          </a:p>
        </c:txPr>
        <c:crossAx val="1743315744"/>
        <c:crosses val="autoZero"/>
        <c:auto val="1"/>
        <c:lblAlgn val="ctr"/>
        <c:lblOffset val="100"/>
        <c:noMultiLvlLbl val="0"/>
      </c:catAx>
      <c:valAx>
        <c:axId val="174331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ur-PK"/>
          </a:p>
        </c:txPr>
        <c:crossAx val="174332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r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 Sales Report.xlsx]Daily Sales Report!PivotTable9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ur-PK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Sales Report'!$B$20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'Daily Sales Report'!$A$21:$A$25</c:f>
              <c:strCache>
                <c:ptCount val="4"/>
                <c:pt idx="0">
                  <c:v>South</c:v>
                </c:pt>
                <c:pt idx="1">
                  <c:v>North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'Daily Sales Report'!$B$21:$B$25</c:f>
              <c:numCache>
                <c:formatCode>_("$"* #,##0_);_("$"* \(#,##0\);_("$"* "-"??_);_(@_)</c:formatCode>
                <c:ptCount val="4"/>
                <c:pt idx="0">
                  <c:v>23200</c:v>
                </c:pt>
                <c:pt idx="1">
                  <c:v>12000</c:v>
                </c:pt>
                <c:pt idx="2">
                  <c:v>9000</c:v>
                </c:pt>
                <c:pt idx="3">
                  <c:v>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E-4123-A808-0BFB64EB7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47837568"/>
        <c:axId val="1747823840"/>
      </c:barChart>
      <c:catAx>
        <c:axId val="174783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ur-PK"/>
          </a:p>
        </c:txPr>
        <c:crossAx val="1747823840"/>
        <c:crosses val="autoZero"/>
        <c:auto val="1"/>
        <c:lblAlgn val="ctr"/>
        <c:lblOffset val="100"/>
        <c:noMultiLvlLbl val="0"/>
      </c:catAx>
      <c:valAx>
        <c:axId val="174782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ur-PK"/>
          </a:p>
        </c:txPr>
        <c:crossAx val="174783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r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 Sales Report.xlsx]Daily Sales Report!PivotTable10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Performance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ur-PK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Sales Report'!$B$28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'Daily Sales Report'!$A$29:$A$33</c:f>
              <c:strCache>
                <c:ptCount val="4"/>
                <c:pt idx="0">
                  <c:v>Product B</c:v>
                </c:pt>
                <c:pt idx="1">
                  <c:v>Product A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'Daily Sales Report'!$B$29:$B$33</c:f>
              <c:numCache>
                <c:formatCode>_("$"* #,##0_);_("$"* \(#,##0\);_("$"* "-"??_);_(@_)</c:formatCode>
                <c:ptCount val="4"/>
                <c:pt idx="0">
                  <c:v>23200</c:v>
                </c:pt>
                <c:pt idx="1">
                  <c:v>14000</c:v>
                </c:pt>
                <c:pt idx="2">
                  <c:v>7200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F-454B-802B-0FE09DBFC076}"/>
            </c:ext>
          </c:extLst>
        </c:ser>
        <c:ser>
          <c:idx val="1"/>
          <c:order val="1"/>
          <c:tx>
            <c:strRef>
              <c:f>'Daily Sales Report'!$C$28</c:f>
              <c:strCache>
                <c:ptCount val="1"/>
                <c:pt idx="0">
                  <c:v>Total Quantity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'Daily Sales Report'!$A$29:$A$33</c:f>
              <c:strCache>
                <c:ptCount val="4"/>
                <c:pt idx="0">
                  <c:v>Product B</c:v>
                </c:pt>
                <c:pt idx="1">
                  <c:v>Product A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'Daily Sales Report'!$C$29:$C$33</c:f>
              <c:numCache>
                <c:formatCode>General</c:formatCode>
                <c:ptCount val="4"/>
                <c:pt idx="0">
                  <c:v>29</c:v>
                </c:pt>
                <c:pt idx="1">
                  <c:v>28</c:v>
                </c:pt>
                <c:pt idx="2">
                  <c:v>12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6F-454B-802B-0FE09DBFC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47831328"/>
        <c:axId val="1747830912"/>
      </c:barChart>
      <c:catAx>
        <c:axId val="174783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ur-PK"/>
          </a:p>
        </c:txPr>
        <c:crossAx val="1747830912"/>
        <c:crosses val="autoZero"/>
        <c:auto val="1"/>
        <c:lblAlgn val="ctr"/>
        <c:lblOffset val="100"/>
        <c:noMultiLvlLbl val="0"/>
      </c:catAx>
      <c:valAx>
        <c:axId val="17478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ur-PK"/>
          </a:p>
        </c:txPr>
        <c:crossAx val="174783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r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123825</xdr:rowOff>
    </xdr:from>
    <xdr:to>
      <xdr:col>4</xdr:col>
      <xdr:colOff>533400</xdr:colOff>
      <xdr:row>21</xdr:row>
      <xdr:rowOff>9526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790575</xdr:colOff>
      <xdr:row>8</xdr:row>
      <xdr:rowOff>123826</xdr:rowOff>
    </xdr:from>
    <xdr:to>
      <xdr:col>10</xdr:col>
      <xdr:colOff>333375</xdr:colOff>
      <xdr:row>21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37</xdr:row>
      <xdr:rowOff>42862</xdr:rowOff>
    </xdr:from>
    <xdr:to>
      <xdr:col>3</xdr:col>
      <xdr:colOff>66675</xdr:colOff>
      <xdr:row>47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23812</xdr:colOff>
      <xdr:row>49</xdr:row>
      <xdr:rowOff>38101</xdr:rowOff>
    </xdr:from>
    <xdr:to>
      <xdr:col>3</xdr:col>
      <xdr:colOff>38100</xdr:colOff>
      <xdr:row>59</xdr:row>
      <xdr:rowOff>133350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61</xdr:row>
      <xdr:rowOff>23812</xdr:rowOff>
    </xdr:from>
    <xdr:to>
      <xdr:col>3</xdr:col>
      <xdr:colOff>114300</xdr:colOff>
      <xdr:row>70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073.82885810185" createdVersion="6" refreshedVersion="6" minRefreshableVersion="3" recordCount="10">
  <cacheSource type="worksheet">
    <worksheetSource name="Sales"/>
  </cacheSource>
  <cacheFields count="8">
    <cacheField name="Date" numFmtId="14">
      <sharedItems containsSemiMixedTypes="0" containsNonDate="0" containsDate="1" containsString="0" minDate="2026-02-01T00:00:00" maxDate="2026-02-02T00:00:00"/>
    </cacheField>
    <cacheField name="Invoice No" numFmtId="0">
      <sharedItems/>
    </cacheField>
    <cacheField name="Salesperson" numFmtId="0">
      <sharedItems count="3">
        <s v="Ali"/>
        <s v="Sara"/>
        <s v="Ahmed"/>
      </sharedItems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4">
        <s v="Product A"/>
        <s v="Product B"/>
        <s v="Product C"/>
        <s v="Product D"/>
      </sharedItems>
    </cacheField>
    <cacheField name="Quantity" numFmtId="0">
      <sharedItems containsSemiMixedTypes="0" containsString="0" containsNumber="1" containsInteger="1" minValue="3" maxValue="15"/>
    </cacheField>
    <cacheField name="Unit Price" numFmtId="0">
      <sharedItems containsSemiMixedTypes="0" containsString="0" containsNumber="1" containsInteger="1" minValue="500" maxValue="800"/>
    </cacheField>
    <cacheField name="Total Amount" numFmtId="0">
      <sharedItems containsSemiMixedTypes="0" containsString="0" containsNumber="1" containsInteger="1" minValue="2100" maxValue="1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6073.82885810185" createdVersion="6" refreshedVersion="6" minRefreshableVersion="3" recordCount="10">
  <cacheSource type="worksheet">
    <worksheetSource name="Sales"/>
  </cacheSource>
  <cacheFields count="8">
    <cacheField name="Date" numFmtId="14">
      <sharedItems containsSemiMixedTypes="0" containsNonDate="0" containsDate="1" containsString="0" minDate="2026-02-01T00:00:00" maxDate="2026-02-02T00:00:00"/>
    </cacheField>
    <cacheField name="Invoice No" numFmtId="0">
      <sharedItems/>
    </cacheField>
    <cacheField name="Salesperson" numFmtId="0">
      <sharedItems count="3">
        <s v="Ali"/>
        <s v="Sara"/>
        <s v="Ahmed"/>
      </sharedItems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4">
        <s v="Product A"/>
        <s v="Product B"/>
        <s v="Product C"/>
        <s v="Product D"/>
      </sharedItems>
    </cacheField>
    <cacheField name="Quantity" numFmtId="0">
      <sharedItems containsSemiMixedTypes="0" containsString="0" containsNumber="1" containsInteger="1" minValue="3" maxValue="15"/>
    </cacheField>
    <cacheField name="Unit Price" numFmtId="0">
      <sharedItems containsSemiMixedTypes="0" containsString="0" containsNumber="1" containsInteger="1" minValue="500" maxValue="800"/>
    </cacheField>
    <cacheField name="Total Amount" numFmtId="0">
      <sharedItems containsSemiMixedTypes="0" containsString="0" containsNumber="1" containsInteger="1" minValue="2100" maxValue="1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d v="2026-02-01T00:00:00"/>
    <s v="INV001"/>
    <x v="0"/>
    <x v="0"/>
    <x v="0"/>
    <n v="10"/>
    <n v="500"/>
    <n v="5000"/>
  </r>
  <r>
    <d v="2026-02-01T00:00:00"/>
    <s v="INV002"/>
    <x v="1"/>
    <x v="1"/>
    <x v="1"/>
    <n v="5"/>
    <n v="800"/>
    <n v="4000"/>
  </r>
  <r>
    <d v="2026-02-01T00:00:00"/>
    <s v="INV003"/>
    <x v="2"/>
    <x v="2"/>
    <x v="2"/>
    <n v="8"/>
    <n v="600"/>
    <n v="4800"/>
  </r>
  <r>
    <d v="2026-02-01T00:00:00"/>
    <s v="INV004"/>
    <x v="0"/>
    <x v="3"/>
    <x v="0"/>
    <n v="6"/>
    <n v="500"/>
    <n v="3000"/>
  </r>
  <r>
    <d v="2026-02-01T00:00:00"/>
    <s v="INV005"/>
    <x v="1"/>
    <x v="0"/>
    <x v="3"/>
    <n v="7"/>
    <n v="700"/>
    <n v="4900"/>
  </r>
  <r>
    <d v="2026-02-01T00:00:00"/>
    <s v="INV006"/>
    <x v="2"/>
    <x v="1"/>
    <x v="1"/>
    <n v="9"/>
    <n v="800"/>
    <n v="7200"/>
  </r>
  <r>
    <d v="2026-02-01T00:00:00"/>
    <s v="INV007"/>
    <x v="0"/>
    <x v="2"/>
    <x v="2"/>
    <n v="4"/>
    <n v="600"/>
    <n v="2400"/>
  </r>
  <r>
    <d v="2026-02-01T00:00:00"/>
    <s v="INV008"/>
    <x v="1"/>
    <x v="3"/>
    <x v="0"/>
    <n v="12"/>
    <n v="500"/>
    <n v="6000"/>
  </r>
  <r>
    <d v="2026-02-01T00:00:00"/>
    <s v="INV009"/>
    <x v="2"/>
    <x v="0"/>
    <x v="3"/>
    <n v="3"/>
    <n v="700"/>
    <n v="2100"/>
  </r>
  <r>
    <d v="2026-02-01T00:00:00"/>
    <s v="INV010"/>
    <x v="0"/>
    <x v="1"/>
    <x v="1"/>
    <n v="15"/>
    <n v="800"/>
    <n v="12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">
  <r>
    <d v="2026-02-01T00:00:00"/>
    <s v="INV001"/>
    <x v="0"/>
    <x v="0"/>
    <x v="0"/>
    <n v="10"/>
    <n v="500"/>
    <n v="5000"/>
  </r>
  <r>
    <d v="2026-02-01T00:00:00"/>
    <s v="INV002"/>
    <x v="1"/>
    <x v="1"/>
    <x v="1"/>
    <n v="5"/>
    <n v="800"/>
    <n v="4000"/>
  </r>
  <r>
    <d v="2026-02-01T00:00:00"/>
    <s v="INV003"/>
    <x v="2"/>
    <x v="2"/>
    <x v="2"/>
    <n v="8"/>
    <n v="600"/>
    <n v="4800"/>
  </r>
  <r>
    <d v="2026-02-01T00:00:00"/>
    <s v="INV004"/>
    <x v="0"/>
    <x v="3"/>
    <x v="0"/>
    <n v="6"/>
    <n v="500"/>
    <n v="3000"/>
  </r>
  <r>
    <d v="2026-02-01T00:00:00"/>
    <s v="INV005"/>
    <x v="1"/>
    <x v="0"/>
    <x v="3"/>
    <n v="7"/>
    <n v="700"/>
    <n v="4900"/>
  </r>
  <r>
    <d v="2026-02-01T00:00:00"/>
    <s v="INV006"/>
    <x v="2"/>
    <x v="1"/>
    <x v="1"/>
    <n v="9"/>
    <n v="800"/>
    <n v="7200"/>
  </r>
  <r>
    <d v="2026-02-01T00:00:00"/>
    <s v="INV007"/>
    <x v="0"/>
    <x v="2"/>
    <x v="2"/>
    <n v="4"/>
    <n v="600"/>
    <n v="2400"/>
  </r>
  <r>
    <d v="2026-02-01T00:00:00"/>
    <s v="INV008"/>
    <x v="1"/>
    <x v="3"/>
    <x v="0"/>
    <n v="12"/>
    <n v="500"/>
    <n v="6000"/>
  </r>
  <r>
    <d v="2026-02-01T00:00:00"/>
    <s v="INV009"/>
    <x v="2"/>
    <x v="0"/>
    <x v="3"/>
    <n v="3"/>
    <n v="700"/>
    <n v="2100"/>
  </r>
  <r>
    <d v="2026-02-01T00:00:00"/>
    <s v="INV010"/>
    <x v="0"/>
    <x v="1"/>
    <x v="1"/>
    <n v="15"/>
    <n v="800"/>
    <n v="1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Regions">
  <location ref="G3:H8" firstHeaderRow="1" firstDataRow="1" firstDataCol="1"/>
  <pivotFields count="8">
    <pivotField numFmtId="14" showAll="0"/>
    <pivotField showAll="0"/>
    <pivotField showAll="0">
      <items count="4">
        <item x="2"/>
        <item x="0"/>
        <item x="1"/>
        <item t="default"/>
      </items>
    </pivotField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3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Total Sales" fld="7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Salespersons">
  <location ref="A3:B7" firstHeaderRow="1" firstDataRow="1" firstDataCol="1"/>
  <pivotFields count="8">
    <pivotField numFmtId="14"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Total Sales" fld="7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Products">
  <location ref="L3:N8" firstHeaderRow="0" firstDataRow="1" firstDataCol="1"/>
  <pivotFields count="8">
    <pivotField numFmtId="14" showAll="0"/>
    <pivotField showAll="0"/>
    <pivotField showAll="0">
      <items count="4">
        <item x="2"/>
        <item x="0"/>
        <item x="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7" baseField="0" baseItem="0"/>
    <dataField name="Quantity Sol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 rowHeaderCaption="Salespersons">
  <location ref="A13:C17" firstHeaderRow="0" firstDataRow="1" firstDataCol="1"/>
  <pivotFields count="8">
    <pivotField numFmtId="14"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dataField="1" showAll="0"/>
  </pivotFields>
  <rowFields count="1">
    <field x="2"/>
  </rowFields>
  <rowItems count="4"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7" baseField="0" baseItem="0" numFmtId="164"/>
    <dataField name="Total Quantity" fld="5" baseField="0" baseItem="0"/>
  </dataFields>
  <formats count="3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 rowHeaderCaption="Salespersons">
  <location ref="A20:B25" firstHeaderRow="1" firstDataRow="1" firstDataCol="1"/>
  <pivotFields count="8">
    <pivotField numFmtId="14" showAll="0"/>
    <pivotField showAll="0"/>
    <pivotField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3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Total Sales" fld="7" baseField="0" baseItem="0" numFmtId="164"/>
  </dataFields>
  <formats count="3"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0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 rowHeaderCaption="Salespersons">
  <location ref="A28:C33" firstHeaderRow="0" firstDataRow="1" firstDataCol="1"/>
  <pivotFields count="8">
    <pivotField numFmtId="14" showAll="0"/>
    <pivotField showAll="0"/>
    <pivotField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</pivotFields>
  <rowFields count="1">
    <field x="4"/>
  </rowFields>
  <rowItems count="5">
    <i>
      <x v="1"/>
    </i>
    <i>
      <x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7" baseField="0" baseItem="0" numFmtId="164"/>
    <dataField name="Total Quantity" fld="5" baseField="0" baseItem="0"/>
  </dataFields>
  <formats count="3"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Sales" displayName="Sales" ref="A1:H12" totalsRowCount="1" headerRowDxfId="26" dataDxfId="25">
  <autoFilter ref="A1:H11"/>
  <tableColumns count="8">
    <tableColumn id="1" name="Date" dataDxfId="24" totalsRowDxfId="23"/>
    <tableColumn id="2" name="Invoice No" dataDxfId="22" totalsRowDxfId="21"/>
    <tableColumn id="3" name="Salesperson" dataDxfId="20" totalsRowDxfId="19"/>
    <tableColumn id="4" name="Region" dataDxfId="18" totalsRowDxfId="17"/>
    <tableColumn id="5" name="Product" dataDxfId="16" totalsRowDxfId="15"/>
    <tableColumn id="6" name="Quantity" totalsRowFunction="sum" dataDxfId="14" totalsRowDxfId="13"/>
    <tableColumn id="7" name="Unit Price" dataDxfId="12" totalsRowDxfId="11"/>
    <tableColumn id="8" name="Total Amount" totalsRowFunction="custom" dataDxfId="10" totalsRowDxfId="9">
      <totalsRowFormula>SUM(Sales[Total Amount])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C19" sqref="C19"/>
    </sheetView>
  </sheetViews>
  <sheetFormatPr defaultRowHeight="14.25" x14ac:dyDescent="0.2"/>
  <cols>
    <col min="1" max="1" width="8.875" customWidth="1"/>
    <col min="2" max="2" width="11.25" customWidth="1"/>
    <col min="3" max="3" width="12.625" customWidth="1"/>
    <col min="4" max="4" width="9.5" customWidth="1"/>
    <col min="5" max="5" width="11.75" customWidth="1"/>
    <col min="6" max="6" width="10.25" customWidth="1"/>
    <col min="7" max="7" width="11.25" customWidth="1"/>
    <col min="8" max="8" width="13" customWidth="1"/>
  </cols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46054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10</v>
      </c>
      <c r="G2" s="3">
        <v>500</v>
      </c>
      <c r="H2" s="3">
        <v>5000</v>
      </c>
    </row>
    <row r="3" spans="1:8" x14ac:dyDescent="0.2">
      <c r="A3" s="2">
        <v>46054</v>
      </c>
      <c r="B3" s="3" t="s">
        <v>12</v>
      </c>
      <c r="C3" s="3" t="s">
        <v>13</v>
      </c>
      <c r="D3" s="3" t="s">
        <v>14</v>
      </c>
      <c r="E3" s="3" t="s">
        <v>15</v>
      </c>
      <c r="F3" s="3">
        <v>5</v>
      </c>
      <c r="G3" s="3">
        <v>800</v>
      </c>
      <c r="H3" s="3">
        <v>4000</v>
      </c>
    </row>
    <row r="4" spans="1:8" x14ac:dyDescent="0.2">
      <c r="A4" s="2">
        <v>46054</v>
      </c>
      <c r="B4" s="3" t="s">
        <v>16</v>
      </c>
      <c r="C4" s="3" t="s">
        <v>17</v>
      </c>
      <c r="D4" s="3" t="s">
        <v>18</v>
      </c>
      <c r="E4" s="3" t="s">
        <v>19</v>
      </c>
      <c r="F4" s="3">
        <v>8</v>
      </c>
      <c r="G4" s="3">
        <v>600</v>
      </c>
      <c r="H4" s="3">
        <v>4800</v>
      </c>
    </row>
    <row r="5" spans="1:8" x14ac:dyDescent="0.2">
      <c r="A5" s="2">
        <v>46054</v>
      </c>
      <c r="B5" s="3" t="s">
        <v>20</v>
      </c>
      <c r="C5" s="3" t="s">
        <v>9</v>
      </c>
      <c r="D5" s="3" t="s">
        <v>21</v>
      </c>
      <c r="E5" s="3" t="s">
        <v>11</v>
      </c>
      <c r="F5" s="3">
        <v>6</v>
      </c>
      <c r="G5" s="3">
        <v>500</v>
      </c>
      <c r="H5" s="3">
        <v>3000</v>
      </c>
    </row>
    <row r="6" spans="1:8" x14ac:dyDescent="0.2">
      <c r="A6" s="2">
        <v>46054</v>
      </c>
      <c r="B6" s="3" t="s">
        <v>22</v>
      </c>
      <c r="C6" s="3" t="s">
        <v>13</v>
      </c>
      <c r="D6" s="3" t="s">
        <v>10</v>
      </c>
      <c r="E6" s="3" t="s">
        <v>23</v>
      </c>
      <c r="F6" s="3">
        <v>7</v>
      </c>
      <c r="G6" s="3">
        <v>700</v>
      </c>
      <c r="H6" s="3">
        <v>4900</v>
      </c>
    </row>
    <row r="7" spans="1:8" x14ac:dyDescent="0.2">
      <c r="A7" s="2">
        <v>46054</v>
      </c>
      <c r="B7" s="3" t="s">
        <v>24</v>
      </c>
      <c r="C7" s="3" t="s">
        <v>17</v>
      </c>
      <c r="D7" s="3" t="s">
        <v>14</v>
      </c>
      <c r="E7" s="3" t="s">
        <v>15</v>
      </c>
      <c r="F7" s="3">
        <v>9</v>
      </c>
      <c r="G7" s="3">
        <v>800</v>
      </c>
      <c r="H7" s="3">
        <v>7200</v>
      </c>
    </row>
    <row r="8" spans="1:8" x14ac:dyDescent="0.2">
      <c r="A8" s="2">
        <v>46054</v>
      </c>
      <c r="B8" s="3" t="s">
        <v>25</v>
      </c>
      <c r="C8" s="3" t="s">
        <v>9</v>
      </c>
      <c r="D8" s="3" t="s">
        <v>18</v>
      </c>
      <c r="E8" s="3" t="s">
        <v>19</v>
      </c>
      <c r="F8" s="3">
        <v>4</v>
      </c>
      <c r="G8" s="3">
        <v>600</v>
      </c>
      <c r="H8" s="3">
        <v>2400</v>
      </c>
    </row>
    <row r="9" spans="1:8" x14ac:dyDescent="0.2">
      <c r="A9" s="2">
        <v>46054</v>
      </c>
      <c r="B9" s="3" t="s">
        <v>26</v>
      </c>
      <c r="C9" s="3" t="s">
        <v>13</v>
      </c>
      <c r="D9" s="3" t="s">
        <v>21</v>
      </c>
      <c r="E9" s="3" t="s">
        <v>11</v>
      </c>
      <c r="F9" s="3">
        <v>12</v>
      </c>
      <c r="G9" s="3">
        <v>500</v>
      </c>
      <c r="H9" s="3">
        <v>6000</v>
      </c>
    </row>
    <row r="10" spans="1:8" x14ac:dyDescent="0.2">
      <c r="A10" s="2">
        <v>46054</v>
      </c>
      <c r="B10" s="3" t="s">
        <v>27</v>
      </c>
      <c r="C10" s="3" t="s">
        <v>17</v>
      </c>
      <c r="D10" s="3" t="s">
        <v>10</v>
      </c>
      <c r="E10" s="3" t="s">
        <v>23</v>
      </c>
      <c r="F10" s="3">
        <v>3</v>
      </c>
      <c r="G10" s="3">
        <v>700</v>
      </c>
      <c r="H10" s="3">
        <v>2100</v>
      </c>
    </row>
    <row r="11" spans="1:8" x14ac:dyDescent="0.2">
      <c r="A11" s="2">
        <v>46054</v>
      </c>
      <c r="B11" s="3" t="s">
        <v>28</v>
      </c>
      <c r="C11" s="3" t="s">
        <v>9</v>
      </c>
      <c r="D11" s="3" t="s">
        <v>14</v>
      </c>
      <c r="E11" s="3" t="s">
        <v>15</v>
      </c>
      <c r="F11" s="3">
        <v>15</v>
      </c>
      <c r="G11" s="3">
        <v>800</v>
      </c>
      <c r="H11" s="3">
        <v>12000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C19" sqref="C19"/>
    </sheetView>
  </sheetViews>
  <sheetFormatPr defaultRowHeight="14.25" x14ac:dyDescent="0.2"/>
  <cols>
    <col min="1" max="1" width="8.625" customWidth="1"/>
    <col min="2" max="2" width="12.25" customWidth="1"/>
    <col min="3" max="3" width="13.875" customWidth="1"/>
    <col min="4" max="4" width="9.125" customWidth="1"/>
    <col min="5" max="5" width="9.75" customWidth="1"/>
    <col min="6" max="6" width="10.125" customWidth="1"/>
    <col min="7" max="7" width="11.5" customWidth="1"/>
    <col min="8" max="8" width="14.375" customWidth="1"/>
  </cols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46054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10</v>
      </c>
      <c r="G2" s="3">
        <v>500</v>
      </c>
      <c r="H2" s="3">
        <v>5000</v>
      </c>
    </row>
    <row r="3" spans="1:8" x14ac:dyDescent="0.2">
      <c r="A3" s="2">
        <v>46054</v>
      </c>
      <c r="B3" s="3" t="s">
        <v>12</v>
      </c>
      <c r="C3" s="3" t="s">
        <v>13</v>
      </c>
      <c r="D3" s="3" t="s">
        <v>14</v>
      </c>
      <c r="E3" s="3" t="s">
        <v>15</v>
      </c>
      <c r="F3" s="3">
        <v>5</v>
      </c>
      <c r="G3" s="3">
        <v>800</v>
      </c>
      <c r="H3" s="3">
        <v>4000</v>
      </c>
    </row>
    <row r="4" spans="1:8" x14ac:dyDescent="0.2">
      <c r="A4" s="2">
        <v>46054</v>
      </c>
      <c r="B4" s="3" t="s">
        <v>16</v>
      </c>
      <c r="C4" s="3" t="s">
        <v>17</v>
      </c>
      <c r="D4" s="3" t="s">
        <v>18</v>
      </c>
      <c r="E4" s="3" t="s">
        <v>19</v>
      </c>
      <c r="F4" s="3">
        <v>8</v>
      </c>
      <c r="G4" s="3">
        <v>600</v>
      </c>
      <c r="H4" s="3">
        <v>4800</v>
      </c>
    </row>
    <row r="5" spans="1:8" x14ac:dyDescent="0.2">
      <c r="A5" s="2">
        <v>46054</v>
      </c>
      <c r="B5" s="3" t="s">
        <v>20</v>
      </c>
      <c r="C5" s="3" t="s">
        <v>9</v>
      </c>
      <c r="D5" s="3" t="s">
        <v>21</v>
      </c>
      <c r="E5" s="3" t="s">
        <v>11</v>
      </c>
      <c r="F5" s="3">
        <v>6</v>
      </c>
      <c r="G5" s="3">
        <v>500</v>
      </c>
      <c r="H5" s="3">
        <v>3000</v>
      </c>
    </row>
    <row r="6" spans="1:8" x14ac:dyDescent="0.2">
      <c r="A6" s="2">
        <v>46054</v>
      </c>
      <c r="B6" s="3" t="s">
        <v>22</v>
      </c>
      <c r="C6" s="3" t="s">
        <v>13</v>
      </c>
      <c r="D6" s="3" t="s">
        <v>10</v>
      </c>
      <c r="E6" s="3" t="s">
        <v>23</v>
      </c>
      <c r="F6" s="3">
        <v>7</v>
      </c>
      <c r="G6" s="3">
        <v>700</v>
      </c>
      <c r="H6" s="3">
        <v>4900</v>
      </c>
    </row>
    <row r="7" spans="1:8" x14ac:dyDescent="0.2">
      <c r="A7" s="2">
        <v>46054</v>
      </c>
      <c r="B7" s="3" t="s">
        <v>24</v>
      </c>
      <c r="C7" s="3" t="s">
        <v>17</v>
      </c>
      <c r="D7" s="3" t="s">
        <v>14</v>
      </c>
      <c r="E7" s="3" t="s">
        <v>15</v>
      </c>
      <c r="F7" s="3">
        <v>9</v>
      </c>
      <c r="G7" s="3">
        <v>800</v>
      </c>
      <c r="H7" s="3">
        <v>7200</v>
      </c>
    </row>
    <row r="8" spans="1:8" x14ac:dyDescent="0.2">
      <c r="A8" s="2">
        <v>46054</v>
      </c>
      <c r="B8" s="3" t="s">
        <v>25</v>
      </c>
      <c r="C8" s="3" t="s">
        <v>9</v>
      </c>
      <c r="D8" s="3" t="s">
        <v>18</v>
      </c>
      <c r="E8" s="3" t="s">
        <v>19</v>
      </c>
      <c r="F8" s="3">
        <v>4</v>
      </c>
      <c r="G8" s="3">
        <v>600</v>
      </c>
      <c r="H8" s="3">
        <v>2400</v>
      </c>
    </row>
    <row r="9" spans="1:8" x14ac:dyDescent="0.2">
      <c r="A9" s="2">
        <v>46054</v>
      </c>
      <c r="B9" s="3" t="s">
        <v>26</v>
      </c>
      <c r="C9" s="3" t="s">
        <v>13</v>
      </c>
      <c r="D9" s="3" t="s">
        <v>21</v>
      </c>
      <c r="E9" s="3" t="s">
        <v>11</v>
      </c>
      <c r="F9" s="3">
        <v>12</v>
      </c>
      <c r="G9" s="3">
        <v>500</v>
      </c>
      <c r="H9" s="3">
        <v>6000</v>
      </c>
    </row>
    <row r="10" spans="1:8" x14ac:dyDescent="0.2">
      <c r="A10" s="2">
        <v>46054</v>
      </c>
      <c r="B10" s="3" t="s">
        <v>27</v>
      </c>
      <c r="C10" s="3" t="s">
        <v>17</v>
      </c>
      <c r="D10" s="3" t="s">
        <v>10</v>
      </c>
      <c r="E10" s="3" t="s">
        <v>23</v>
      </c>
      <c r="F10" s="3">
        <v>3</v>
      </c>
      <c r="G10" s="3">
        <v>700</v>
      </c>
      <c r="H10" s="3">
        <v>2100</v>
      </c>
    </row>
    <row r="11" spans="1:8" x14ac:dyDescent="0.2">
      <c r="A11" s="2">
        <v>46054</v>
      </c>
      <c r="B11" s="3" t="s">
        <v>28</v>
      </c>
      <c r="C11" s="3" t="s">
        <v>9</v>
      </c>
      <c r="D11" s="3" t="s">
        <v>14</v>
      </c>
      <c r="E11" s="3" t="s">
        <v>15</v>
      </c>
      <c r="F11" s="3">
        <v>15</v>
      </c>
      <c r="G11" s="3">
        <v>800</v>
      </c>
      <c r="H11" s="3">
        <v>12000</v>
      </c>
    </row>
    <row r="12" spans="1:8" ht="15" x14ac:dyDescent="0.2">
      <c r="A12" s="2"/>
      <c r="B12" s="3"/>
      <c r="C12" s="3"/>
      <c r="D12" s="3"/>
      <c r="E12" s="3"/>
      <c r="F12" s="3">
        <f>SUBTOTAL(109,Sales[Quantity])</f>
        <v>79</v>
      </c>
      <c r="G12" s="3"/>
      <c r="H12" s="3">
        <f>SUM(Sales[Total Amount])</f>
        <v>51400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8"/>
  <sheetViews>
    <sheetView workbookViewId="0">
      <selection activeCell="F2" sqref="F2"/>
    </sheetView>
  </sheetViews>
  <sheetFormatPr defaultRowHeight="14.25" x14ac:dyDescent="0.2"/>
  <cols>
    <col min="1" max="1" width="11.375" customWidth="1"/>
    <col min="2" max="2" width="10.75" customWidth="1"/>
    <col min="4" max="4" width="11.375" customWidth="1"/>
    <col min="5" max="5" width="10.5" customWidth="1"/>
    <col min="6" max="6" width="15" bestFit="1" customWidth="1"/>
    <col min="7" max="7" width="11.375" bestFit="1" customWidth="1"/>
    <col min="8" max="8" width="10.75" bestFit="1" customWidth="1"/>
    <col min="12" max="12" width="11.375" bestFit="1" customWidth="1"/>
    <col min="13" max="13" width="10.75" bestFit="1" customWidth="1"/>
    <col min="14" max="14" width="12.75" bestFit="1" customWidth="1"/>
  </cols>
  <sheetData>
    <row r="2" spans="1:14" x14ac:dyDescent="0.2">
      <c r="A2" s="7" t="s">
        <v>33</v>
      </c>
      <c r="B2" s="7"/>
      <c r="C2" s="7"/>
      <c r="G2" s="7" t="s">
        <v>34</v>
      </c>
      <c r="H2" s="7"/>
      <c r="I2" s="7"/>
      <c r="L2" s="7" t="s">
        <v>37</v>
      </c>
      <c r="M2" s="7"/>
      <c r="N2" s="7"/>
    </row>
    <row r="3" spans="1:14" x14ac:dyDescent="0.2">
      <c r="A3" s="4" t="s">
        <v>32</v>
      </c>
      <c r="B3" t="s">
        <v>30</v>
      </c>
      <c r="G3" s="4" t="s">
        <v>31</v>
      </c>
      <c r="H3" t="s">
        <v>30</v>
      </c>
      <c r="L3" s="4" t="s">
        <v>35</v>
      </c>
      <c r="M3" t="s">
        <v>30</v>
      </c>
      <c r="N3" t="s">
        <v>36</v>
      </c>
    </row>
    <row r="4" spans="1:14" x14ac:dyDescent="0.2">
      <c r="A4" s="5" t="s">
        <v>9</v>
      </c>
      <c r="B4" s="6">
        <v>22400</v>
      </c>
      <c r="G4" s="5" t="s">
        <v>14</v>
      </c>
      <c r="H4" s="6">
        <v>23200</v>
      </c>
      <c r="L4" s="5" t="s">
        <v>11</v>
      </c>
      <c r="M4" s="6">
        <v>14000</v>
      </c>
      <c r="N4" s="6">
        <v>28</v>
      </c>
    </row>
    <row r="5" spans="1:14" x14ac:dyDescent="0.2">
      <c r="A5" s="5" t="s">
        <v>13</v>
      </c>
      <c r="B5" s="6">
        <v>14900</v>
      </c>
      <c r="G5" s="5" t="s">
        <v>10</v>
      </c>
      <c r="H5" s="6">
        <v>12000</v>
      </c>
      <c r="L5" s="5" t="s">
        <v>15</v>
      </c>
      <c r="M5" s="6">
        <v>23200</v>
      </c>
      <c r="N5" s="6">
        <v>29</v>
      </c>
    </row>
    <row r="6" spans="1:14" x14ac:dyDescent="0.2">
      <c r="A6" s="5" t="s">
        <v>17</v>
      </c>
      <c r="B6" s="6">
        <v>14100</v>
      </c>
      <c r="G6" s="5" t="s">
        <v>21</v>
      </c>
      <c r="H6" s="6">
        <v>9000</v>
      </c>
      <c r="L6" s="5" t="s">
        <v>19</v>
      </c>
      <c r="M6" s="6">
        <v>7200</v>
      </c>
      <c r="N6" s="6">
        <v>12</v>
      </c>
    </row>
    <row r="7" spans="1:14" x14ac:dyDescent="0.2">
      <c r="A7" s="5" t="s">
        <v>29</v>
      </c>
      <c r="B7" s="6">
        <v>51400</v>
      </c>
      <c r="G7" s="5" t="s">
        <v>18</v>
      </c>
      <c r="H7" s="6">
        <v>7200</v>
      </c>
      <c r="L7" s="5" t="s">
        <v>23</v>
      </c>
      <c r="M7" s="6">
        <v>7000</v>
      </c>
      <c r="N7" s="6">
        <v>10</v>
      </c>
    </row>
    <row r="8" spans="1:14" x14ac:dyDescent="0.2">
      <c r="G8" s="5" t="s">
        <v>29</v>
      </c>
      <c r="H8" s="6">
        <v>51400</v>
      </c>
      <c r="L8" s="5" t="s">
        <v>29</v>
      </c>
      <c r="M8" s="6">
        <v>51400</v>
      </c>
      <c r="N8" s="6">
        <v>79</v>
      </c>
    </row>
  </sheetData>
  <mergeCells count="3">
    <mergeCell ref="A2:C2"/>
    <mergeCell ref="G2:I2"/>
    <mergeCell ref="L2:N2"/>
  </mergeCell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showGridLines="0" tabSelected="1" workbookViewId="0">
      <selection activeCell="F12" sqref="F12"/>
    </sheetView>
  </sheetViews>
  <sheetFormatPr defaultRowHeight="14.25" x14ac:dyDescent="0.2"/>
  <cols>
    <col min="1" max="1" width="17.75" customWidth="1"/>
    <col min="2" max="2" width="10.75" customWidth="1"/>
    <col min="3" max="3" width="13.25" customWidth="1"/>
  </cols>
  <sheetData>
    <row r="1" spans="1:3" ht="23.25" x14ac:dyDescent="0.35">
      <c r="A1" s="16" t="s">
        <v>53</v>
      </c>
    </row>
    <row r="2" spans="1:3" x14ac:dyDescent="0.2">
      <c r="A2" t="s">
        <v>52</v>
      </c>
    </row>
    <row r="4" spans="1:3" ht="15" x14ac:dyDescent="0.25">
      <c r="A4" s="11" t="s">
        <v>51</v>
      </c>
      <c r="B4" s="10"/>
      <c r="C4" s="10"/>
    </row>
    <row r="5" spans="1:3" x14ac:dyDescent="0.2">
      <c r="A5" s="14" t="s">
        <v>30</v>
      </c>
      <c r="B5" s="15">
        <f>SUM(Sales[Total Amount])</f>
        <v>51400</v>
      </c>
    </row>
    <row r="6" spans="1:3" x14ac:dyDescent="0.2">
      <c r="A6" s="14" t="s">
        <v>50</v>
      </c>
      <c r="B6" s="14">
        <f>SUM(Sales[Quantity])</f>
        <v>79</v>
      </c>
    </row>
    <row r="7" spans="1:3" x14ac:dyDescent="0.2">
      <c r="A7" s="14" t="s">
        <v>49</v>
      </c>
      <c r="B7" s="14">
        <f>COUNTA(Sales[Invoice No])</f>
        <v>10</v>
      </c>
    </row>
    <row r="8" spans="1:3" x14ac:dyDescent="0.2">
      <c r="A8" s="14" t="s">
        <v>48</v>
      </c>
      <c r="B8" s="14" t="s">
        <v>9</v>
      </c>
    </row>
    <row r="9" spans="1:3" x14ac:dyDescent="0.2">
      <c r="A9" s="14" t="s">
        <v>47</v>
      </c>
      <c r="B9" s="14" t="s">
        <v>14</v>
      </c>
    </row>
    <row r="10" spans="1:3" x14ac:dyDescent="0.2">
      <c r="A10" s="14" t="s">
        <v>46</v>
      </c>
      <c r="B10" s="13" t="s">
        <v>15</v>
      </c>
    </row>
    <row r="12" spans="1:3" ht="15" x14ac:dyDescent="0.25">
      <c r="A12" s="11" t="s">
        <v>45</v>
      </c>
      <c r="B12" s="10"/>
      <c r="C12" s="10"/>
    </row>
    <row r="13" spans="1:3" x14ac:dyDescent="0.2">
      <c r="A13" s="4" t="s">
        <v>32</v>
      </c>
      <c r="B13" t="s">
        <v>30</v>
      </c>
      <c r="C13" t="s">
        <v>42</v>
      </c>
    </row>
    <row r="14" spans="1:3" x14ac:dyDescent="0.2">
      <c r="A14" s="5" t="s">
        <v>9</v>
      </c>
      <c r="B14" s="12">
        <v>22400</v>
      </c>
      <c r="C14" s="6">
        <v>35</v>
      </c>
    </row>
    <row r="15" spans="1:3" x14ac:dyDescent="0.2">
      <c r="A15" s="5" t="s">
        <v>13</v>
      </c>
      <c r="B15" s="12">
        <v>14900</v>
      </c>
      <c r="C15" s="6">
        <v>24</v>
      </c>
    </row>
    <row r="16" spans="1:3" x14ac:dyDescent="0.2">
      <c r="A16" s="5" t="s">
        <v>17</v>
      </c>
      <c r="B16" s="12">
        <v>14100</v>
      </c>
      <c r="C16" s="6">
        <v>20</v>
      </c>
    </row>
    <row r="17" spans="1:3" x14ac:dyDescent="0.2">
      <c r="A17" s="5" t="s">
        <v>29</v>
      </c>
      <c r="B17" s="12">
        <v>51400</v>
      </c>
      <c r="C17" s="6">
        <v>79</v>
      </c>
    </row>
    <row r="19" spans="1:3" ht="15" x14ac:dyDescent="0.25">
      <c r="A19" s="11" t="s">
        <v>44</v>
      </c>
      <c r="B19" s="10"/>
      <c r="C19" s="10"/>
    </row>
    <row r="20" spans="1:3" x14ac:dyDescent="0.2">
      <c r="A20" s="4" t="s">
        <v>32</v>
      </c>
      <c r="B20" t="s">
        <v>30</v>
      </c>
    </row>
    <row r="21" spans="1:3" x14ac:dyDescent="0.2">
      <c r="A21" s="5" t="s">
        <v>14</v>
      </c>
      <c r="B21" s="12">
        <v>23200</v>
      </c>
    </row>
    <row r="22" spans="1:3" x14ac:dyDescent="0.2">
      <c r="A22" s="5" t="s">
        <v>10</v>
      </c>
      <c r="B22" s="12">
        <v>12000</v>
      </c>
    </row>
    <row r="23" spans="1:3" x14ac:dyDescent="0.2">
      <c r="A23" s="5" t="s">
        <v>21</v>
      </c>
      <c r="B23" s="12">
        <v>9000</v>
      </c>
    </row>
    <row r="24" spans="1:3" x14ac:dyDescent="0.2">
      <c r="A24" s="5" t="s">
        <v>18</v>
      </c>
      <c r="B24" s="12">
        <v>7200</v>
      </c>
    </row>
    <row r="25" spans="1:3" x14ac:dyDescent="0.2">
      <c r="A25" s="5" t="s">
        <v>29</v>
      </c>
      <c r="B25" s="12">
        <v>51400</v>
      </c>
    </row>
    <row r="27" spans="1:3" ht="15" x14ac:dyDescent="0.25">
      <c r="A27" s="11" t="s">
        <v>43</v>
      </c>
      <c r="B27" s="10"/>
      <c r="C27" s="10"/>
    </row>
    <row r="28" spans="1:3" x14ac:dyDescent="0.2">
      <c r="A28" s="4" t="s">
        <v>32</v>
      </c>
      <c r="B28" t="s">
        <v>30</v>
      </c>
      <c r="C28" t="s">
        <v>42</v>
      </c>
    </row>
    <row r="29" spans="1:3" x14ac:dyDescent="0.2">
      <c r="A29" s="5" t="s">
        <v>15</v>
      </c>
      <c r="B29" s="12">
        <v>23200</v>
      </c>
      <c r="C29" s="6">
        <v>29</v>
      </c>
    </row>
    <row r="30" spans="1:3" x14ac:dyDescent="0.2">
      <c r="A30" s="5" t="s">
        <v>11</v>
      </c>
      <c r="B30" s="12">
        <v>14000</v>
      </c>
      <c r="C30" s="6">
        <v>28</v>
      </c>
    </row>
    <row r="31" spans="1:3" x14ac:dyDescent="0.2">
      <c r="A31" s="5" t="s">
        <v>19</v>
      </c>
      <c r="B31" s="12">
        <v>7200</v>
      </c>
      <c r="C31" s="6">
        <v>12</v>
      </c>
    </row>
    <row r="32" spans="1:3" x14ac:dyDescent="0.2">
      <c r="A32" s="5" t="s">
        <v>23</v>
      </c>
      <c r="B32" s="12">
        <v>7000</v>
      </c>
      <c r="C32" s="6">
        <v>10</v>
      </c>
    </row>
    <row r="33" spans="1:3" x14ac:dyDescent="0.2">
      <c r="A33" s="5" t="s">
        <v>29</v>
      </c>
      <c r="B33" s="12">
        <v>51400</v>
      </c>
      <c r="C33" s="6">
        <v>79</v>
      </c>
    </row>
    <row r="35" spans="1:3" ht="15" x14ac:dyDescent="0.25">
      <c r="A35" s="11" t="s">
        <v>41</v>
      </c>
      <c r="B35" s="10"/>
      <c r="C35" s="10"/>
    </row>
    <row r="37" spans="1:3" ht="15" x14ac:dyDescent="0.25">
      <c r="A37" s="9" t="s">
        <v>40</v>
      </c>
      <c r="B37" s="8"/>
      <c r="C37" s="8"/>
    </row>
    <row r="49" spans="1:3" ht="15" x14ac:dyDescent="0.25">
      <c r="A49" s="9" t="s">
        <v>39</v>
      </c>
      <c r="B49" s="8"/>
      <c r="C49" s="8"/>
    </row>
    <row r="61" spans="1:3" ht="15" x14ac:dyDescent="0.25">
      <c r="A61" s="9" t="s">
        <v>38</v>
      </c>
      <c r="B61" s="8"/>
      <c r="C61" s="8"/>
    </row>
  </sheetData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Data Table</vt:lpstr>
      <vt:lpstr>Pivot Table</vt:lpstr>
      <vt:lpstr>Daily Sales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2026-02-20T13:28:25Z</dcterms:created>
  <dcterms:modified xsi:type="dcterms:W3CDTF">2026-02-23T13:40:48Z</dcterms:modified>
</cp:coreProperties>
</file>