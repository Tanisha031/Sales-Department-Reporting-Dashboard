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2"/>
  </bookViews>
  <sheets>
    <sheet name="Sales Data" sheetId="1" r:id="rId1"/>
    <sheet name="Aging Report" sheetId="4" r:id="rId2"/>
    <sheet name="Sheet3" sheetId="3" r:id="rId3"/>
  </sheet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B7" i="3"/>
  <c r="B6" i="3"/>
  <c r="B6" i="1"/>
  <c r="B5" i="3"/>
  <c r="L5" i="1"/>
  <c r="L2" i="1"/>
  <c r="K3" i="1"/>
  <c r="L3" i="1" s="1"/>
  <c r="K4" i="1"/>
  <c r="L4" i="1" s="1"/>
  <c r="K5" i="1"/>
  <c r="K6" i="1"/>
  <c r="L6" i="1" s="1"/>
  <c r="K7" i="1"/>
  <c r="L7" i="1" s="1"/>
  <c r="K8" i="1"/>
  <c r="L8" i="1" s="1"/>
  <c r="K9" i="1"/>
  <c r="L9" i="1" s="1"/>
  <c r="K2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<sst xmlns="http://schemas.openxmlformats.org/spreadsheetml/2006/main" count="84" uniqueCount="53">
  <si>
    <t>Invoice No</t>
  </si>
  <si>
    <t>Customer Name</t>
  </si>
  <si>
    <t>Invoice Date</t>
  </si>
  <si>
    <t>Due Date</t>
  </si>
  <si>
    <t>Invoice Amount</t>
  </si>
  <si>
    <t>Amount Received</t>
  </si>
  <si>
    <t>Payment Date</t>
  </si>
  <si>
    <t>Region</t>
  </si>
  <si>
    <t>Salesperson</t>
  </si>
  <si>
    <t>INV001</t>
  </si>
  <si>
    <t>ABC Traders</t>
  </si>
  <si>
    <t>South</t>
  </si>
  <si>
    <t>Ali</t>
  </si>
  <si>
    <t>INV002</t>
  </si>
  <si>
    <t>Star Mart</t>
  </si>
  <si>
    <t>North</t>
  </si>
  <si>
    <t>Sana</t>
  </si>
  <si>
    <t>INV003</t>
  </si>
  <si>
    <t>Royal Store</t>
  </si>
  <si>
    <t>-</t>
  </si>
  <si>
    <t>East</t>
  </si>
  <si>
    <t>Ahmed</t>
  </si>
  <si>
    <t>INV004</t>
  </si>
  <si>
    <t>Bright Sales</t>
  </si>
  <si>
    <t>West</t>
  </si>
  <si>
    <t>Zara</t>
  </si>
  <si>
    <t>INV005</t>
  </si>
  <si>
    <t>INV006</t>
  </si>
  <si>
    <t>Moon Store</t>
  </si>
  <si>
    <t>INV007</t>
  </si>
  <si>
    <t>Prime Retail</t>
  </si>
  <si>
    <t>INV008</t>
  </si>
  <si>
    <t>Quick Shop</t>
  </si>
  <si>
    <t xml:space="preserve">Outstanding </t>
  </si>
  <si>
    <t>Aging Days</t>
  </si>
  <si>
    <t>Aging Bucket</t>
  </si>
  <si>
    <t>0-30 Days</t>
  </si>
  <si>
    <t>Paid</t>
  </si>
  <si>
    <t>Grand Total</t>
  </si>
  <si>
    <t xml:space="preserve">Total Outstanding </t>
  </si>
  <si>
    <t>Salesperson - Wise Outstanding  Sales</t>
  </si>
  <si>
    <t>Region - Wise Outstanding Sales</t>
  </si>
  <si>
    <t>Aging-Wise Outstanding Sales</t>
  </si>
  <si>
    <t>OUTSTANDING PAYMENT SUMMARY REPORT</t>
  </si>
  <si>
    <t>KPI</t>
  </si>
  <si>
    <t>Values</t>
  </si>
  <si>
    <t>Total Sales</t>
  </si>
  <si>
    <t>Total Amount Received</t>
  </si>
  <si>
    <t>Total Outstanding</t>
  </si>
  <si>
    <t>Collection Effeciency %</t>
  </si>
  <si>
    <t>Highest Outstanding Region</t>
  </si>
  <si>
    <t>Highest Outstanding Salesperson</t>
  </si>
  <si>
    <t>Months: Jan 2026 -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</si>
</sst>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_-[$Rs-420]\ * #,##0_-;\-[$Rs-420]\ * #,##0_-;_-[$Rs-420]\ * &quot;-&quot;??_-;_-@_-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73" fontId="0" fillId="0" borderId="0" xfId="0" applyNumberFormat="1" applyAlignment="1">
      <alignment vertical="center" wrapText="1"/>
    </xf>
    <xf numFmtId="173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9" fontId="7" fillId="0" borderId="1" xfId="1" applyFont="1" applyBorder="1"/>
  </cellXfs>
  <cellStyles count="2">
    <cellStyle name="Normal" xfId="0" builtinId="0"/>
    <cellStyle name="Percent" xfId="1" builtinId="5"/>
  </cellStyles>
  <dxfs count="93"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1" formatCode="_-[$Rs-420]\ * #,##0.00_-;\-[$Rs-420]\ * #,##0.00_-;_-[$Rs-420]\ * &quot;-&quot;??_-;_-@_-"/>
    </dxf>
    <dxf>
      <numFmt numFmtId="172" formatCode="_-[$Rs-420]\ * #,##0.0_-;\-[$Rs-420]\ * #,##0.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2" formatCode="_-[$Rs-420]\ * #,##0.0_-;\-[$Rs-420]\ * #,##0.0_-;_-[$Rs-420]\ * &quot;-&quot;??_-;_-@_-"/>
    </dxf>
    <dxf>
      <numFmt numFmtId="171" formatCode="_-[$Rs-420]\ * #,##0.00_-;\-[$Rs-420]\ * #,##0.0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3" formatCode="_-[$Rs-420]\ * #,##0_-;\-[$Rs-420]\ * #,##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2" formatCode="_-[$Rs-420]\ * #,##0.0_-;\-[$Rs-420]\ * #,##0.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1" formatCode="_-[$Rs-420]\ * #,##0.00_-;\-[$Rs-420]\ * #,##0.00_-;_-[$Rs-420]\ * &quot;-&quot;??_-;_-@_-"/>
    </dxf>
    <dxf>
      <numFmt numFmtId="173" formatCode="_-[$Rs-420]\ * #,##0_-;\-[$Rs-420]\ * #,##0_-;_-[$Rs-420]\ * &quot;-&quot;??_-;_-@_-"/>
    </dxf>
    <dxf>
      <numFmt numFmtId="172" formatCode="_-[$Rs-420]\ * #,##0.0_-;\-[$Rs-420]\ * #,##0.0_-;_-[$Rs-420]\ * &quot;-&quot;??_-;_-@_-"/>
    </dxf>
    <dxf>
      <numFmt numFmtId="171" formatCode="_-[$Rs-420]\ * #,##0.00_-;\-[$Rs-420]\ * #,##0.00_-;_-[$Rs-420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73" formatCode="_-[$Rs-420]\ * #,##0_-;\-[$Rs-420]\ * #,##0_-;_-[$Rs-420]\ 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173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numFmt numFmtId="173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[Outstanding Aging and Payment Report.xlsx]Aging Report!PivotTable1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Aging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'Aging Report'!$B$2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'Aging Report'!$A$3:$A$5</c:f>
              <c:strCache>
                <c:ptCount val="2"/>
                <c:pt idx="0">
                  <c:v>0-30 Days</c:v>
                </c:pt>
                <c:pt idx="1">
                  <c:v>Paid</c:v>
                </c:pt>
              </c:strCache>
            </c:strRef>
          </c:cat>
          <c:val>
            <c:numRef>
              <c:f>'Aging Report'!$B$3:$B$5</c:f>
              <c:numCache>
                <c:formatCode>_-[$Rs-420]\ * #,##0_-;\-[$Rs-420]\ * #,##0_-;_-[$Rs-420]\ * "-"??_-;_-@_-</c:formatCode>
                <c:ptCount val="2"/>
                <c:pt idx="0">
                  <c:v>285000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6-4D59-A454-9F8DE1F5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1159888"/>
        <c:axId val="771149488"/>
      </c:barChart>
      <c:catAx>
        <c:axId val="7711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771149488"/>
        <c:crosses val="autoZero"/>
        <c:auto val="1"/>
        <c:lblAlgn val="ctr"/>
        <c:lblOffset val="100"/>
        <c:noMultiLvlLbl val="0"/>
      </c:catAx>
      <c:valAx>
        <c:axId val="7711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s-420]\ * #,##0_-;\-[$Rs-420]\ * #,##0_-;_-[$Rs-420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77115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</xdr:row>
      <xdr:rowOff>161925</xdr:rowOff>
    </xdr:from>
    <xdr:to>
      <xdr:col>9</xdr:col>
      <xdr:colOff>200025</xdr:colOff>
      <xdr:row>16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6.716202314812" createdVersion="6" refreshedVersion="6" minRefreshableVersion="3" recordCount="8">
  <cacheSource type="worksheet">
    <worksheetSource name="Table1"/>
  </cacheSource>
  <cacheFields count="12">
    <cacheField name="Invoice No" numFmtId="0">
      <sharedItems/>
    </cacheField>
    <cacheField name="Customer Name" numFmtId="0">
      <sharedItems/>
    </cacheField>
    <cacheField name="Invoice Date" numFmtId="15">
      <sharedItems containsSemiMixedTypes="0" containsNonDate="0" containsDate="1" containsString="0" minDate="2026-01-01T00:00:00" maxDate="2026-02-06T00:00:00"/>
    </cacheField>
    <cacheField name="Due Date" numFmtId="15">
      <sharedItems containsSemiMixedTypes="0" containsNonDate="0" containsDate="1" containsString="0" minDate="2026-01-31T00:00:00" maxDate="2026-03-08T00:00:00"/>
    </cacheField>
    <cacheField name="Invoice Amount" numFmtId="173">
      <sharedItems containsSemiMixedTypes="0" containsString="0" containsNumber="1" containsInteger="1" minValue="30000" maxValue="120000"/>
    </cacheField>
    <cacheField name="Amount Received" numFmtId="173">
      <sharedItems containsSemiMixedTypes="0" containsString="0" containsNumber="1" containsInteger="1" minValue="0" maxValue="90000"/>
    </cacheField>
    <cacheField name="Payment Date" numFmtId="0">
      <sharedItems containsDate="1" containsMixedTypes="1" minDate="2026-01-25T00:00:00" maxDate="2026-03-16T00:00:00"/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 count="4">
        <s v="Ali"/>
        <s v="Sana"/>
        <s v="Ahmed"/>
        <s v="Zara"/>
      </sharedItems>
    </cacheField>
    <cacheField name="Outstanding " numFmtId="173">
      <sharedItems containsSemiMixedTypes="0" containsString="0" containsNumber="1" containsInteger="1" minValue="0" maxValue="80000"/>
    </cacheField>
    <cacheField name="Aging Days" numFmtId="0">
      <sharedItems containsSemiMixedTypes="0" containsString="0" containsNumber="1" containsInteger="1" minValue="-12" maxValue="19"/>
    </cacheField>
    <cacheField name="Aging Bucket" numFmtId="0">
      <sharedItems count="2">
        <s v="Paid"/>
        <s v="0-3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s v="INV001"/>
    <s v="ABC Traders"/>
    <d v="2026-01-01T00:00:00"/>
    <d v="2026-01-31T00:00:00"/>
    <n v="50000"/>
    <n v="50000"/>
    <d v="2026-01-25T00:00:00"/>
    <x v="0"/>
    <x v="0"/>
    <n v="0"/>
    <n v="0"/>
    <x v="0"/>
  </r>
  <r>
    <s v="INV002"/>
    <s v="Star Mart"/>
    <d v="2026-01-05T00:00:00"/>
    <d v="2026-02-04T00:00:00"/>
    <n v="75000"/>
    <n v="40000"/>
    <d v="2026-02-20T00:00:00"/>
    <x v="1"/>
    <x v="1"/>
    <n v="35000"/>
    <n v="19"/>
    <x v="1"/>
  </r>
  <r>
    <s v="INV003"/>
    <s v="Royal Store"/>
    <d v="2026-01-10T00:00:00"/>
    <d v="2026-02-09T00:00:00"/>
    <n v="60000"/>
    <n v="0"/>
    <s v="-"/>
    <x v="2"/>
    <x v="2"/>
    <n v="60000"/>
    <n v="14"/>
    <x v="1"/>
  </r>
  <r>
    <s v="INV004"/>
    <s v="Bright Sales"/>
    <d v="2026-01-15T00:00:00"/>
    <d v="2026-02-14T00:00:00"/>
    <n v="90000"/>
    <n v="90000"/>
    <d v="2026-02-10T00:00:00"/>
    <x v="3"/>
    <x v="3"/>
    <n v="0"/>
    <n v="0"/>
    <x v="0"/>
  </r>
  <r>
    <s v="INV005"/>
    <s v="City Mart"/>
    <d v="2026-01-20T00:00:00"/>
    <d v="2026-02-19T00:00:00"/>
    <n v="40000"/>
    <n v="20000"/>
    <d v="2026-02-25T00:00:00"/>
    <x v="0"/>
    <x v="0"/>
    <n v="20000"/>
    <n v="4"/>
    <x v="1"/>
  </r>
  <r>
    <s v="INV006"/>
    <s v="Moon Store"/>
    <d v="2026-01-25T00:00:00"/>
    <d v="2026-02-24T00:00:00"/>
    <n v="30000"/>
    <n v="0"/>
    <s v="-"/>
    <x v="1"/>
    <x v="1"/>
    <n v="30000"/>
    <n v="-1"/>
    <x v="1"/>
  </r>
  <r>
    <s v="INV007"/>
    <s v="Prime Retail"/>
    <d v="2026-02-01T00:00:00"/>
    <d v="2026-03-03T00:00:00"/>
    <n v="120000"/>
    <n v="60000"/>
    <d v="2026-03-15T00:00:00"/>
    <x v="2"/>
    <x v="2"/>
    <n v="60000"/>
    <n v="-8"/>
    <x v="1"/>
  </r>
  <r>
    <s v="INV008"/>
    <s v="Quick Shop"/>
    <d v="2026-02-05T00:00:00"/>
    <d v="2026-03-07T00:00:00"/>
    <n v="80000"/>
    <n v="0"/>
    <s v="-"/>
    <x v="3"/>
    <x v="3"/>
    <n v="80000"/>
    <n v="-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ing Bucket">
  <location ref="A20:B25" firstHeaderRow="1" firstDataRow="1" firstDataCol="1"/>
  <pivotFields count="12">
    <pivotField showAll="0"/>
    <pivotField showAll="0"/>
    <pivotField numFmtId="15" showAll="0"/>
    <pivotField numFmtId="15" showAll="0"/>
    <pivotField numFmtId="173" showAll="0"/>
    <pivotField numFmtId="173" showAll="0"/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numFmtId="173" showAll="0"/>
    <pivotField showAll="0"/>
    <pivotField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utstanding " fld="9" baseField="0" baseItem="0" numFmtId="173"/>
  </dataFields>
  <formats count="6">
    <format dxfId="60">
      <pivotArea grandRow="1" outline="0" collapsedLevelsAreSubtotals="1" fieldPosition="0"/>
    </format>
    <format dxfId="61">
      <pivotArea grandRow="1" outline="0" collapsedLevelsAreSubtotals="1" fieldPosition="0"/>
    </format>
    <format dxfId="62">
      <pivotArea grandRow="1" outline="0" collapsedLevelsAreSubtotals="1" fieldPosition="0"/>
    </format>
    <format dxfId="35">
      <pivotArea outline="0" collapsedLevelsAreSubtotals="1" fieldPosition="0"/>
    </format>
    <format dxfId="30">
      <pivotArea outline="0" collapsedLevelsAreSubtotals="1" fieldPosition="0"/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ing Bucket">
  <location ref="A8:B17" firstHeaderRow="1" firstDataRow="1" firstDataCol="1"/>
  <pivotFields count="12">
    <pivotField showAll="0"/>
    <pivotField showAll="0"/>
    <pivotField numFmtId="15" showAll="0"/>
    <pivotField numFmtId="15" showAll="0"/>
    <pivotField numFmtId="173" showAll="0"/>
    <pivotField numFmtId="173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numFmtId="173" showAll="0"/>
    <pivotField showAll="0"/>
    <pivotField axis="axisRow" showAll="0">
      <items count="3">
        <item x="1"/>
        <item x="0"/>
        <item t="default"/>
      </items>
    </pivotField>
  </pivotFields>
  <rowFields count="2">
    <field x="11"/>
    <field x="7"/>
  </rowFields>
  <rowItems count="9">
    <i>
      <x/>
    </i>
    <i r="1">
      <x/>
    </i>
    <i r="1">
      <x v="1"/>
    </i>
    <i r="1">
      <x v="2"/>
    </i>
    <i r="1">
      <x v="3"/>
    </i>
    <i>
      <x v="1"/>
    </i>
    <i r="1">
      <x v="2"/>
    </i>
    <i r="1">
      <x v="3"/>
    </i>
    <i t="grand">
      <x/>
    </i>
  </rowItems>
  <colItems count="1">
    <i/>
  </colItems>
  <dataFields count="1">
    <dataField name="Total Outstanding " fld="9" baseField="0" baseItem="0"/>
  </dataFields>
  <formats count="15">
    <format dxfId="77">
      <pivotArea collapsedLevelsAreSubtotals="1" fieldPosition="0">
        <references count="2">
          <reference field="7" count="0"/>
          <reference field="11" count="1" selected="0">
            <x v="0"/>
          </reference>
        </references>
      </pivotArea>
    </format>
    <format dxfId="76">
      <pivotArea collapsedLevelsAreSubtotals="1" fieldPosition="0">
        <references count="1">
          <reference field="11" count="1">
            <x v="1"/>
          </reference>
        </references>
      </pivotArea>
    </format>
    <format dxfId="75">
      <pivotArea collapsedLevelsAreSubtotals="1" fieldPosition="0">
        <references count="2">
          <reference field="7" count="2">
            <x v="2"/>
            <x v="3"/>
          </reference>
          <reference field="11" count="1" selected="0">
            <x v="1"/>
          </reference>
        </references>
      </pivotArea>
    </format>
    <format dxfId="74">
      <pivotArea grandRow="1" outline="0" collapsedLevelsAreSubtotals="1" fieldPosition="0"/>
    </format>
    <format dxfId="73">
      <pivotArea collapsedLevelsAreSubtotals="1" fieldPosition="0">
        <references count="2">
          <reference field="7" count="0"/>
          <reference field="11" count="1" selected="0">
            <x v="0"/>
          </reference>
        </references>
      </pivotArea>
    </format>
    <format dxfId="72">
      <pivotArea collapsedLevelsAreSubtotals="1" fieldPosition="0">
        <references count="1">
          <reference field="11" count="1">
            <x v="1"/>
          </reference>
        </references>
      </pivotArea>
    </format>
    <format dxfId="71">
      <pivotArea collapsedLevelsAreSubtotals="1" fieldPosition="0">
        <references count="2">
          <reference field="7" count="2">
            <x v="2"/>
            <x v="3"/>
          </reference>
          <reference field="11" count="1" selected="0">
            <x v="1"/>
          </reference>
        </references>
      </pivotArea>
    </format>
    <format dxfId="70">
      <pivotArea grandRow="1" outline="0" collapsedLevelsAreSubtotals="1" fieldPosition="0"/>
    </format>
    <format dxfId="69">
      <pivotArea collapsedLevelsAreSubtotals="1" fieldPosition="0">
        <references count="2">
          <reference field="7" count="0"/>
          <reference field="11" count="1" selected="0">
            <x v="0"/>
          </reference>
        </references>
      </pivotArea>
    </format>
    <format dxfId="68">
      <pivotArea collapsedLevelsAreSubtotals="1" fieldPosition="0">
        <references count="1">
          <reference field="11" count="1">
            <x v="1"/>
          </reference>
        </references>
      </pivotArea>
    </format>
    <format dxfId="67">
      <pivotArea collapsedLevelsAreSubtotals="1" fieldPosition="0">
        <references count="2">
          <reference field="7" count="2">
            <x v="2"/>
            <x v="3"/>
          </reference>
          <reference field="11" count="1" selected="0">
            <x v="1"/>
          </reference>
        </references>
      </pivotArea>
    </format>
    <format dxfId="66">
      <pivotArea grandRow="1" outline="0" collapsedLevelsAreSubtotals="1" fieldPosition="0"/>
    </format>
    <format dxfId="65">
      <pivotArea collapsedLevelsAreSubtotals="1" fieldPosition="0">
        <references count="1">
          <reference field="11" count="1">
            <x v="0"/>
          </reference>
        </references>
      </pivotArea>
    </format>
    <format dxfId="64">
      <pivotArea collapsedLevelsAreSubtotals="1" fieldPosition="0">
        <references count="1">
          <reference field="11" count="1">
            <x v="0"/>
          </reference>
        </references>
      </pivotArea>
    </format>
    <format dxfId="63">
      <pivotArea collapsedLevelsAreSubtotals="1" fieldPosition="0">
        <references count="1"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Aging Bucket">
  <location ref="A2:B5" firstHeaderRow="1" firstDataRow="1" firstDataCol="1"/>
  <pivotFields count="12">
    <pivotField showAll="0"/>
    <pivotField showAll="0"/>
    <pivotField numFmtId="15" showAll="0"/>
    <pivotField numFmtId="15" showAll="0"/>
    <pivotField numFmtId="173" showAll="0"/>
    <pivotField numFmtId="173" showAll="0"/>
    <pivotField showAll="0"/>
    <pivotField showAll="0"/>
    <pivotField showAll="0"/>
    <pivotField dataField="1" numFmtId="173"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Total Outstanding " fld="9" baseField="0" baseItem="0" numFmtId="173"/>
  </dataFields>
  <formats count="3"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9" totalsRowShown="0" headerRowDxfId="81">
  <autoFilter ref="A1:L9"/>
  <tableColumns count="12">
    <tableColumn id="1" name="Invoice No" dataDxfId="92"/>
    <tableColumn id="2" name="Customer Name" dataDxfId="91"/>
    <tableColumn id="3" name="Invoice Date" dataDxfId="90"/>
    <tableColumn id="4" name="Due Date" dataDxfId="89"/>
    <tableColumn id="5" name="Invoice Amount" dataDxfId="88"/>
    <tableColumn id="6" name="Amount Received" dataDxfId="87"/>
    <tableColumn id="7" name="Payment Date" dataDxfId="86"/>
    <tableColumn id="8" name="Region" dataDxfId="85"/>
    <tableColumn id="9" name="Salesperson" dataDxfId="84"/>
    <tableColumn id="10" name="Outstanding " dataDxfId="83">
      <calculatedColumnFormula>E2-F2</calculatedColumnFormula>
    </tableColumn>
    <tableColumn id="11" name="Aging Days">
      <calculatedColumnFormula>IF(J2=0,0,TODAY()-D2)</calculatedColumnFormula>
    </tableColumn>
    <tableColumn id="12" name="Aging Bucket" dataDxfId="82">
      <calculatedColumnFormula>IF(J2=0,"Paid",
IF(K2&lt;=30,"0-30 Days",
IF(K2&lt;=60,"31-60 Days",
IF(K2&lt;=90,"61-90 Days",
"90+ Days"))))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C1" workbookViewId="0">
      <selection activeCell="F17" sqref="F17"/>
    </sheetView>
  </sheetViews>
  <sheetFormatPr defaultRowHeight="14.25" x14ac:dyDescent="0.2"/>
  <cols>
    <col min="1" max="1" width="15.25" customWidth="1"/>
    <col min="2" max="2" width="16.875" customWidth="1"/>
    <col min="3" max="3" width="13.875" customWidth="1"/>
    <col min="4" max="4" width="15.875" customWidth="1"/>
    <col min="5" max="5" width="16.5" customWidth="1"/>
    <col min="6" max="6" width="18.375" customWidth="1"/>
    <col min="7" max="7" width="16.625" customWidth="1"/>
    <col min="8" max="8" width="9.125" customWidth="1"/>
    <col min="9" max="9" width="18.5" customWidth="1"/>
    <col min="10" max="10" width="14.125" customWidth="1"/>
    <col min="11" max="11" width="13.875" customWidth="1"/>
    <col min="12" max="12" width="15.1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34</v>
      </c>
      <c r="L1" s="1" t="s">
        <v>35</v>
      </c>
    </row>
    <row r="2" spans="1:12" x14ac:dyDescent="0.2">
      <c r="A2" s="2" t="s">
        <v>9</v>
      </c>
      <c r="B2" s="2" t="s">
        <v>10</v>
      </c>
      <c r="C2" s="3">
        <v>46023</v>
      </c>
      <c r="D2" s="3">
        <v>46053</v>
      </c>
      <c r="E2" s="4">
        <v>50000</v>
      </c>
      <c r="F2" s="4">
        <v>50000</v>
      </c>
      <c r="G2" s="3">
        <v>46047</v>
      </c>
      <c r="H2" s="2" t="s">
        <v>11</v>
      </c>
      <c r="I2" s="2" t="s">
        <v>12</v>
      </c>
      <c r="J2" s="5">
        <f>E2-F2</f>
        <v>0</v>
      </c>
      <c r="K2">
        <f ca="1">IF(J2=0,0,TODAY()-D2)</f>
        <v>0</v>
      </c>
      <c r="L2" s="6" t="str">
        <f>IF(J2=0,"Paid",
IF(K2&lt;=30,"0-30 Days",
IF(K2&lt;=60,"31-60 Days",
IF(K2&lt;=90,"61-90 Days",
"90+ Days"))))</f>
        <v>Paid</v>
      </c>
    </row>
    <row r="3" spans="1:12" x14ac:dyDescent="0.2">
      <c r="A3" s="2" t="s">
        <v>13</v>
      </c>
      <c r="B3" s="2" t="s">
        <v>14</v>
      </c>
      <c r="C3" s="3">
        <v>46027</v>
      </c>
      <c r="D3" s="3">
        <v>46057</v>
      </c>
      <c r="E3" s="4">
        <v>75000</v>
      </c>
      <c r="F3" s="4">
        <v>40000</v>
      </c>
      <c r="G3" s="3">
        <v>46073</v>
      </c>
      <c r="H3" s="2" t="s">
        <v>15</v>
      </c>
      <c r="I3" s="2" t="s">
        <v>16</v>
      </c>
      <c r="J3" s="5">
        <f t="shared" ref="J3:J9" si="0">E3-F3</f>
        <v>35000</v>
      </c>
      <c r="K3">
        <f t="shared" ref="K3:K9" ca="1" si="1">IF(J3=0,0,TODAY()-D3)</f>
        <v>19</v>
      </c>
      <c r="L3" s="6" t="str">
        <f t="shared" ref="L3:L9" ca="1" si="2">IF(J3=0,"Paid",
IF(K3&lt;=30,"0-30 Days",
IF(K3&lt;=60,"31-60 Days",
IF(K3&lt;=90,"61-90 Days",
"90+ Days"))))</f>
        <v>0-30 Days</v>
      </c>
    </row>
    <row r="4" spans="1:12" x14ac:dyDescent="0.2">
      <c r="A4" s="2" t="s">
        <v>17</v>
      </c>
      <c r="B4" s="2" t="s">
        <v>18</v>
      </c>
      <c r="C4" s="3">
        <v>46032</v>
      </c>
      <c r="D4" s="3">
        <v>46062</v>
      </c>
      <c r="E4" s="4">
        <v>60000</v>
      </c>
      <c r="F4" s="4">
        <v>0</v>
      </c>
      <c r="G4" s="2" t="s">
        <v>19</v>
      </c>
      <c r="H4" s="2" t="s">
        <v>20</v>
      </c>
      <c r="I4" s="2" t="s">
        <v>21</v>
      </c>
      <c r="J4" s="5">
        <f t="shared" si="0"/>
        <v>60000</v>
      </c>
      <c r="K4">
        <f t="shared" ca="1" si="1"/>
        <v>14</v>
      </c>
      <c r="L4" s="6" t="str">
        <f t="shared" ca="1" si="2"/>
        <v>0-30 Days</v>
      </c>
    </row>
    <row r="5" spans="1:12" x14ac:dyDescent="0.2">
      <c r="A5" s="2" t="s">
        <v>22</v>
      </c>
      <c r="B5" s="2" t="s">
        <v>23</v>
      </c>
      <c r="C5" s="3">
        <v>46037</v>
      </c>
      <c r="D5" s="3">
        <v>46067</v>
      </c>
      <c r="E5" s="4">
        <v>90000</v>
      </c>
      <c r="F5" s="4">
        <v>90000</v>
      </c>
      <c r="G5" s="3">
        <v>46063</v>
      </c>
      <c r="H5" s="2" t="s">
        <v>24</v>
      </c>
      <c r="I5" s="2" t="s">
        <v>25</v>
      </c>
      <c r="J5" s="5">
        <f t="shared" si="0"/>
        <v>0</v>
      </c>
      <c r="K5">
        <f t="shared" ca="1" si="1"/>
        <v>0</v>
      </c>
      <c r="L5" s="6" t="str">
        <f t="shared" si="2"/>
        <v>Paid</v>
      </c>
    </row>
    <row r="6" spans="1:12" x14ac:dyDescent="0.2">
      <c r="A6" s="2" t="s">
        <v>26</v>
      </c>
      <c r="B6" s="2">
        <f>SUM(Table1[Amount Received])</f>
        <v>260000</v>
      </c>
      <c r="C6" s="3">
        <v>46042</v>
      </c>
      <c r="D6" s="3">
        <v>46072</v>
      </c>
      <c r="E6" s="4">
        <v>40000</v>
      </c>
      <c r="F6" s="4">
        <v>20000</v>
      </c>
      <c r="G6" s="3">
        <v>46078</v>
      </c>
      <c r="H6" s="2" t="s">
        <v>11</v>
      </c>
      <c r="I6" s="2" t="s">
        <v>12</v>
      </c>
      <c r="J6" s="5">
        <f t="shared" si="0"/>
        <v>20000</v>
      </c>
      <c r="K6">
        <f t="shared" ca="1" si="1"/>
        <v>4</v>
      </c>
      <c r="L6" s="6" t="str">
        <f t="shared" ca="1" si="2"/>
        <v>0-30 Days</v>
      </c>
    </row>
    <row r="7" spans="1:12" x14ac:dyDescent="0.2">
      <c r="A7" s="2" t="s">
        <v>27</v>
      </c>
      <c r="B7" s="2" t="s">
        <v>28</v>
      </c>
      <c r="C7" s="3">
        <v>46047</v>
      </c>
      <c r="D7" s="3">
        <v>46077</v>
      </c>
      <c r="E7" s="4">
        <v>30000</v>
      </c>
      <c r="F7" s="4">
        <v>0</v>
      </c>
      <c r="G7" s="2" t="s">
        <v>19</v>
      </c>
      <c r="H7" s="2" t="s">
        <v>15</v>
      </c>
      <c r="I7" s="2" t="s">
        <v>16</v>
      </c>
      <c r="J7" s="5">
        <f t="shared" si="0"/>
        <v>30000</v>
      </c>
      <c r="K7">
        <f t="shared" ca="1" si="1"/>
        <v>-1</v>
      </c>
      <c r="L7" s="6" t="str">
        <f t="shared" ca="1" si="2"/>
        <v>0-30 Days</v>
      </c>
    </row>
    <row r="8" spans="1:12" x14ac:dyDescent="0.2">
      <c r="A8" s="2" t="s">
        <v>29</v>
      </c>
      <c r="B8" s="2" t="s">
        <v>30</v>
      </c>
      <c r="C8" s="3">
        <v>46054</v>
      </c>
      <c r="D8" s="3">
        <v>46084</v>
      </c>
      <c r="E8" s="4">
        <v>120000</v>
      </c>
      <c r="F8" s="4">
        <v>60000</v>
      </c>
      <c r="G8" s="3">
        <v>46096</v>
      </c>
      <c r="H8" s="2" t="s">
        <v>20</v>
      </c>
      <c r="I8" s="2" t="s">
        <v>21</v>
      </c>
      <c r="J8" s="5">
        <f t="shared" si="0"/>
        <v>60000</v>
      </c>
      <c r="K8">
        <f t="shared" ca="1" si="1"/>
        <v>-8</v>
      </c>
      <c r="L8" s="6" t="str">
        <f t="shared" ca="1" si="2"/>
        <v>0-30 Days</v>
      </c>
    </row>
    <row r="9" spans="1:12" x14ac:dyDescent="0.2">
      <c r="A9" s="2" t="s">
        <v>31</v>
      </c>
      <c r="B9" s="2" t="s">
        <v>32</v>
      </c>
      <c r="C9" s="3">
        <v>46058</v>
      </c>
      <c r="D9" s="3">
        <v>46088</v>
      </c>
      <c r="E9" s="4">
        <v>80000</v>
      </c>
      <c r="F9" s="4">
        <v>0</v>
      </c>
      <c r="G9" s="2" t="s">
        <v>19</v>
      </c>
      <c r="H9" s="2" t="s">
        <v>24</v>
      </c>
      <c r="I9" s="2" t="s">
        <v>25</v>
      </c>
      <c r="J9" s="5">
        <f t="shared" si="0"/>
        <v>80000</v>
      </c>
      <c r="K9">
        <f t="shared" ca="1" si="1"/>
        <v>-12</v>
      </c>
      <c r="L9" s="6" t="str">
        <f t="shared" ca="1" si="2"/>
        <v>0-30 Days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M8" sqref="M8"/>
    </sheetView>
  </sheetViews>
  <sheetFormatPr defaultRowHeight="14.25" x14ac:dyDescent="0.2"/>
  <cols>
    <col min="1" max="1" width="14.625" customWidth="1"/>
    <col min="2" max="2" width="17.5" customWidth="1"/>
  </cols>
  <sheetData>
    <row r="1" spans="1:3" ht="15.75" x14ac:dyDescent="0.25">
      <c r="A1" s="10" t="s">
        <v>42</v>
      </c>
      <c r="B1" s="10"/>
    </row>
    <row r="2" spans="1:3" x14ac:dyDescent="0.2">
      <c r="A2" s="7" t="s">
        <v>35</v>
      </c>
      <c r="B2" t="s">
        <v>39</v>
      </c>
    </row>
    <row r="3" spans="1:3" x14ac:dyDescent="0.2">
      <c r="A3" s="8" t="s">
        <v>36</v>
      </c>
      <c r="B3" s="5">
        <v>285000</v>
      </c>
    </row>
    <row r="4" spans="1:3" x14ac:dyDescent="0.2">
      <c r="A4" s="8" t="s">
        <v>37</v>
      </c>
      <c r="B4" s="5">
        <v>0</v>
      </c>
    </row>
    <row r="5" spans="1:3" x14ac:dyDescent="0.2">
      <c r="A5" s="8" t="s">
        <v>38</v>
      </c>
      <c r="B5" s="5">
        <v>285000</v>
      </c>
    </row>
    <row r="7" spans="1:3" ht="15.75" x14ac:dyDescent="0.25">
      <c r="A7" s="11" t="s">
        <v>41</v>
      </c>
      <c r="B7" s="11"/>
      <c r="C7" s="11"/>
    </row>
    <row r="8" spans="1:3" x14ac:dyDescent="0.2">
      <c r="A8" s="7" t="s">
        <v>35</v>
      </c>
      <c r="B8" t="s">
        <v>39</v>
      </c>
    </row>
    <row r="9" spans="1:3" x14ac:dyDescent="0.2">
      <c r="A9" s="8" t="s">
        <v>36</v>
      </c>
      <c r="B9" s="5">
        <v>285000</v>
      </c>
    </row>
    <row r="10" spans="1:3" x14ac:dyDescent="0.2">
      <c r="A10" s="9" t="s">
        <v>20</v>
      </c>
      <c r="B10" s="5">
        <v>120000</v>
      </c>
    </row>
    <row r="11" spans="1:3" x14ac:dyDescent="0.2">
      <c r="A11" s="9" t="s">
        <v>15</v>
      </c>
      <c r="B11" s="5">
        <v>65000</v>
      </c>
    </row>
    <row r="12" spans="1:3" x14ac:dyDescent="0.2">
      <c r="A12" s="9" t="s">
        <v>11</v>
      </c>
      <c r="B12" s="5">
        <v>20000</v>
      </c>
    </row>
    <row r="13" spans="1:3" x14ac:dyDescent="0.2">
      <c r="A13" s="9" t="s">
        <v>24</v>
      </c>
      <c r="B13" s="5">
        <v>80000</v>
      </c>
    </row>
    <row r="14" spans="1:3" x14ac:dyDescent="0.2">
      <c r="A14" s="8" t="s">
        <v>37</v>
      </c>
      <c r="B14" s="5">
        <v>0</v>
      </c>
    </row>
    <row r="15" spans="1:3" x14ac:dyDescent="0.2">
      <c r="A15" s="9" t="s">
        <v>11</v>
      </c>
      <c r="B15" s="5">
        <v>0</v>
      </c>
    </row>
    <row r="16" spans="1:3" x14ac:dyDescent="0.2">
      <c r="A16" s="9" t="s">
        <v>24</v>
      </c>
      <c r="B16" s="5">
        <v>0</v>
      </c>
    </row>
    <row r="17" spans="1:3" x14ac:dyDescent="0.2">
      <c r="A17" s="8" t="s">
        <v>38</v>
      </c>
      <c r="B17" s="5">
        <v>285000</v>
      </c>
    </row>
    <row r="19" spans="1:3" ht="15.75" x14ac:dyDescent="0.25">
      <c r="A19" s="11" t="s">
        <v>40</v>
      </c>
      <c r="B19" s="11"/>
      <c r="C19" s="11"/>
    </row>
    <row r="20" spans="1:3" x14ac:dyDescent="0.2">
      <c r="A20" s="7" t="s">
        <v>35</v>
      </c>
      <c r="B20" t="s">
        <v>39</v>
      </c>
    </row>
    <row r="21" spans="1:3" x14ac:dyDescent="0.2">
      <c r="A21" s="8" t="s">
        <v>21</v>
      </c>
      <c r="B21" s="5">
        <v>120000</v>
      </c>
    </row>
    <row r="22" spans="1:3" x14ac:dyDescent="0.2">
      <c r="A22" s="8" t="s">
        <v>12</v>
      </c>
      <c r="B22" s="5">
        <v>20000</v>
      </c>
    </row>
    <row r="23" spans="1:3" x14ac:dyDescent="0.2">
      <c r="A23" s="8" t="s">
        <v>16</v>
      </c>
      <c r="B23" s="5">
        <v>65000</v>
      </c>
    </row>
    <row r="24" spans="1:3" x14ac:dyDescent="0.2">
      <c r="A24" s="8" t="s">
        <v>25</v>
      </c>
      <c r="B24" s="5">
        <v>80000</v>
      </c>
    </row>
    <row r="25" spans="1:3" x14ac:dyDescent="0.2">
      <c r="A25" s="8" t="s">
        <v>38</v>
      </c>
      <c r="B25" s="5">
        <v>285000</v>
      </c>
    </row>
  </sheetData>
  <mergeCells count="3">
    <mergeCell ref="A1:B1"/>
    <mergeCell ref="A19:C19"/>
    <mergeCell ref="A7:C7"/>
  </mergeCell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K11" sqref="K11"/>
    </sheetView>
  </sheetViews>
  <sheetFormatPr defaultRowHeight="14.25" x14ac:dyDescent="0.2"/>
  <cols>
    <col min="1" max="1" width="28" customWidth="1"/>
  </cols>
  <sheetData>
    <row r="1" spans="1:5" ht="23.25" x14ac:dyDescent="0.35">
      <c r="A1" s="12" t="s">
        <v>43</v>
      </c>
      <c r="B1" s="12"/>
      <c r="C1" s="12"/>
      <c r="D1" s="12"/>
      <c r="E1" s="12"/>
    </row>
    <row r="2" spans="1:5" x14ac:dyDescent="0.2">
      <c r="A2" s="14" t="s">
        <v>52</v>
      </c>
    </row>
    <row r="4" spans="1:5" ht="15.75" x14ac:dyDescent="0.25">
      <c r="A4" s="13" t="s">
        <v>44</v>
      </c>
      <c r="B4" s="13" t="s">
        <v>45</v>
      </c>
    </row>
    <row r="5" spans="1:5" x14ac:dyDescent="0.2">
      <c r="A5" s="15" t="s">
        <v>46</v>
      </c>
      <c r="B5" s="15">
        <f>SUM(Table1[Invoice Amount])</f>
        <v>545000</v>
      </c>
    </row>
    <row r="6" spans="1:5" x14ac:dyDescent="0.2">
      <c r="A6" s="15" t="s">
        <v>47</v>
      </c>
      <c r="B6" s="15">
        <f>SUM(Table1[Amount Received])</f>
        <v>260000</v>
      </c>
    </row>
    <row r="7" spans="1:5" x14ac:dyDescent="0.2">
      <c r="A7" s="15" t="s">
        <v>48</v>
      </c>
      <c r="B7" s="15">
        <f>SUM(Table1[[Outstanding ]])</f>
        <v>285000</v>
      </c>
    </row>
    <row r="8" spans="1:5" x14ac:dyDescent="0.2">
      <c r="A8" s="15" t="s">
        <v>49</v>
      </c>
      <c r="B8" s="16">
        <f>B6/B5</f>
        <v>0.47706422018348627</v>
      </c>
    </row>
    <row r="9" spans="1:5" x14ac:dyDescent="0.2">
      <c r="A9" s="15" t="s">
        <v>50</v>
      </c>
      <c r="B9" s="15" t="s">
        <v>20</v>
      </c>
    </row>
    <row r="10" spans="1:5" x14ac:dyDescent="0.2">
      <c r="A10" s="15" t="s">
        <v>51</v>
      </c>
      <c r="B10" s="15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Aging Report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2026-02-23T11:47:51Z</dcterms:created>
  <dcterms:modified xsi:type="dcterms:W3CDTF">2026-02-23T12:38:29Z</dcterms:modified>
</cp:coreProperties>
</file>