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Conversion_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1" i="2"/>
  <c r="C15" i="2"/>
  <c r="C14" i="2"/>
  <c r="C13" i="2"/>
  <c r="C11" i="2"/>
  <c r="C12" i="2"/>
  <c r="B15" i="2"/>
  <c r="B14" i="2"/>
  <c r="B13" i="2"/>
  <c r="B12" i="2"/>
  <c r="B11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<sst xmlns="http://schemas.openxmlformats.org/spreadsheetml/2006/main" count="96" uniqueCount="51">
  <si>
    <t>Lead ID</t>
  </si>
  <si>
    <t>Date</t>
  </si>
  <si>
    <t>Customer Name</t>
  </si>
  <si>
    <t>Source</t>
  </si>
  <si>
    <t>Salesperson</t>
  </si>
  <si>
    <t>Status</t>
  </si>
  <si>
    <t>L001</t>
  </si>
  <si>
    <t>Ali</t>
  </si>
  <si>
    <t>Facebook</t>
  </si>
  <si>
    <t>Ahmed</t>
  </si>
  <si>
    <t>Converted</t>
  </si>
  <si>
    <t>L002</t>
  </si>
  <si>
    <t>Sara</t>
  </si>
  <si>
    <t>Website</t>
  </si>
  <si>
    <t>Lost</t>
  </si>
  <si>
    <t>L003</t>
  </si>
  <si>
    <t>John</t>
  </si>
  <si>
    <t>Instagram</t>
  </si>
  <si>
    <t>Sana</t>
  </si>
  <si>
    <t>L004</t>
  </si>
  <si>
    <t>Maria</t>
  </si>
  <si>
    <t>Referral</t>
  </si>
  <si>
    <t>Pending</t>
  </si>
  <si>
    <t>L005</t>
  </si>
  <si>
    <t>Javed</t>
  </si>
  <si>
    <t>L006</t>
  </si>
  <si>
    <t>L007</t>
  </si>
  <si>
    <t>L008</t>
  </si>
  <si>
    <t>L009</t>
  </si>
  <si>
    <t>L010</t>
  </si>
  <si>
    <t>L011</t>
  </si>
  <si>
    <t>L012</t>
  </si>
  <si>
    <t>Qazi</t>
  </si>
  <si>
    <t>Fawad</t>
  </si>
  <si>
    <t>Saima</t>
  </si>
  <si>
    <t>Farwa</t>
  </si>
  <si>
    <t>Saida</t>
  </si>
  <si>
    <t>Riya</t>
  </si>
  <si>
    <t>Mareem</t>
  </si>
  <si>
    <t>Fahria</t>
  </si>
  <si>
    <t>Akbar</t>
  </si>
  <si>
    <t>Google</t>
  </si>
  <si>
    <t>Conversion_Report</t>
  </si>
  <si>
    <t>Total Leads</t>
  </si>
  <si>
    <t>Converted Leads</t>
  </si>
  <si>
    <t>Lost Leads</t>
  </si>
  <si>
    <t>Pending Leads</t>
  </si>
  <si>
    <t>Conversion %</t>
  </si>
  <si>
    <t>Salesperson Wise Conversion</t>
  </si>
  <si>
    <t>L013</t>
  </si>
  <si>
    <t>Fiza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</si>
</sst>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4" fillId="0" borderId="1" xfId="1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9" fontId="4" fillId="0" borderId="1" xfId="1" applyFont="1" applyBorder="1"/>
  </cellXfs>
  <cellStyles count="2">
    <cellStyle name="Normal" xfId="0" builtinId="0"/>
    <cellStyle name="Percent" xfId="1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14" totalsRowShown="0" headerRowDxfId="0" dataDxfId="1">
  <autoFilter ref="A1:F14"/>
  <tableColumns count="6">
    <tableColumn id="1" name="Lead ID" dataDxfId="7"/>
    <tableColumn id="2" name="Date" dataDxfId="6"/>
    <tableColumn id="3" name="Customer Name" dataDxfId="5"/>
    <tableColumn id="4" name="Source" dataDxfId="4"/>
    <tableColumn id="5" name="Salesperson" dataDxfId="3"/>
    <tableColumn id="6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F13" sqref="F13"/>
    </sheetView>
  </sheetViews>
  <sheetFormatPr defaultRowHeight="14.25" x14ac:dyDescent="0.2"/>
  <cols>
    <col min="1" max="1" width="11.625" bestFit="1" customWidth="1"/>
    <col min="2" max="2" width="9" bestFit="1" customWidth="1"/>
    <col min="3" max="3" width="19.125" bestFit="1" customWidth="1"/>
    <col min="4" max="4" width="11.25" bestFit="1" customWidth="1"/>
    <col min="5" max="5" width="16" bestFit="1" customWidth="1"/>
    <col min="6" max="6" width="10.5" bestFit="1" customWidth="1"/>
    <col min="9" max="9" width="14" customWidth="1"/>
    <col min="10" max="10" width="15.25" customWidth="1"/>
    <col min="11" max="11" width="13.125" customWidth="1"/>
    <col min="12" max="12" width="15.125" customWidth="1"/>
  </cols>
  <sheetData>
    <row r="1" spans="1:12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4</v>
      </c>
      <c r="J1" s="1" t="s">
        <v>43</v>
      </c>
      <c r="K1" s="1" t="s">
        <v>10</v>
      </c>
      <c r="L1" s="1" t="s">
        <v>47</v>
      </c>
    </row>
    <row r="2" spans="1:12" x14ac:dyDescent="0.2">
      <c r="A2" s="2" t="s">
        <v>6</v>
      </c>
      <c r="B2" s="4">
        <v>46054</v>
      </c>
      <c r="C2" s="2" t="s">
        <v>7</v>
      </c>
      <c r="D2" s="2" t="s">
        <v>8</v>
      </c>
      <c r="E2" s="2" t="s">
        <v>18</v>
      </c>
      <c r="F2" s="2" t="s">
        <v>10</v>
      </c>
      <c r="I2" t="s">
        <v>18</v>
      </c>
    </row>
    <row r="3" spans="1:12" x14ac:dyDescent="0.2">
      <c r="A3" s="2" t="s">
        <v>11</v>
      </c>
      <c r="B3" s="4">
        <v>46054</v>
      </c>
      <c r="C3" s="2" t="s">
        <v>12</v>
      </c>
      <c r="D3" s="2" t="s">
        <v>13</v>
      </c>
      <c r="E3" s="2" t="s">
        <v>9</v>
      </c>
      <c r="F3" s="2" t="s">
        <v>14</v>
      </c>
      <c r="I3" t="s">
        <v>9</v>
      </c>
    </row>
    <row r="4" spans="1:12" x14ac:dyDescent="0.2">
      <c r="A4" s="2" t="s">
        <v>15</v>
      </c>
      <c r="B4" s="4">
        <v>46055</v>
      </c>
      <c r="C4" s="2" t="s">
        <v>16</v>
      </c>
      <c r="D4" s="2" t="s">
        <v>17</v>
      </c>
      <c r="E4" s="2" t="s">
        <v>24</v>
      </c>
      <c r="F4" s="2" t="s">
        <v>10</v>
      </c>
      <c r="I4" t="s">
        <v>24</v>
      </c>
    </row>
    <row r="5" spans="1:12" x14ac:dyDescent="0.2">
      <c r="A5" s="2" t="s">
        <v>19</v>
      </c>
      <c r="B5" s="4">
        <v>46055</v>
      </c>
      <c r="C5" s="2" t="s">
        <v>20</v>
      </c>
      <c r="D5" s="2" t="s">
        <v>21</v>
      </c>
      <c r="E5" s="2" t="s">
        <v>18</v>
      </c>
      <c r="F5" s="2" t="s">
        <v>22</v>
      </c>
      <c r="I5" t="s">
        <v>40</v>
      </c>
    </row>
    <row r="6" spans="1:12" x14ac:dyDescent="0.2">
      <c r="A6" s="2" t="s">
        <v>23</v>
      </c>
      <c r="B6" s="4">
        <v>46056</v>
      </c>
      <c r="C6" s="2" t="s">
        <v>32</v>
      </c>
      <c r="D6" s="2" t="s">
        <v>13</v>
      </c>
      <c r="E6" s="2" t="s">
        <v>9</v>
      </c>
      <c r="F6" s="2" t="s">
        <v>10</v>
      </c>
      <c r="I6" t="s">
        <v>12</v>
      </c>
    </row>
    <row r="7" spans="1:12" x14ac:dyDescent="0.2">
      <c r="A7" s="2" t="s">
        <v>25</v>
      </c>
      <c r="B7" s="3">
        <v>46057</v>
      </c>
      <c r="C7" s="2" t="s">
        <v>33</v>
      </c>
      <c r="D7" s="2" t="s">
        <v>41</v>
      </c>
      <c r="E7" s="2" t="s">
        <v>40</v>
      </c>
      <c r="F7" s="2" t="s">
        <v>14</v>
      </c>
    </row>
    <row r="8" spans="1:12" x14ac:dyDescent="0.2">
      <c r="A8" s="2" t="s">
        <v>26</v>
      </c>
      <c r="B8" s="3">
        <v>46057</v>
      </c>
      <c r="C8" s="2" t="s">
        <v>34</v>
      </c>
      <c r="D8" s="2" t="s">
        <v>21</v>
      </c>
      <c r="E8" s="2" t="s">
        <v>12</v>
      </c>
      <c r="F8" s="2" t="s">
        <v>22</v>
      </c>
    </row>
    <row r="9" spans="1:12" x14ac:dyDescent="0.2">
      <c r="A9" s="2" t="s">
        <v>27</v>
      </c>
      <c r="B9" s="3">
        <v>46058</v>
      </c>
      <c r="C9" s="2" t="s">
        <v>35</v>
      </c>
      <c r="D9" s="2" t="s">
        <v>13</v>
      </c>
      <c r="E9" s="2" t="s">
        <v>24</v>
      </c>
      <c r="F9" s="2" t="s">
        <v>14</v>
      </c>
    </row>
    <row r="10" spans="1:12" x14ac:dyDescent="0.2">
      <c r="A10" s="2" t="s">
        <v>28</v>
      </c>
      <c r="B10" s="3">
        <v>46058</v>
      </c>
      <c r="C10" s="2" t="s">
        <v>36</v>
      </c>
      <c r="D10" s="2" t="s">
        <v>17</v>
      </c>
      <c r="E10" s="2" t="s">
        <v>40</v>
      </c>
      <c r="F10" s="2" t="s">
        <v>10</v>
      </c>
    </row>
    <row r="11" spans="1:12" x14ac:dyDescent="0.2">
      <c r="A11" s="2" t="s">
        <v>29</v>
      </c>
      <c r="B11" s="3">
        <v>46059</v>
      </c>
      <c r="C11" s="2" t="s">
        <v>37</v>
      </c>
      <c r="D11" s="2" t="s">
        <v>41</v>
      </c>
      <c r="E11" s="2" t="s">
        <v>18</v>
      </c>
      <c r="F11" s="2" t="s">
        <v>22</v>
      </c>
    </row>
    <row r="12" spans="1:12" x14ac:dyDescent="0.2">
      <c r="A12" s="2" t="s">
        <v>30</v>
      </c>
      <c r="B12" s="3">
        <v>46059</v>
      </c>
      <c r="C12" s="2" t="s">
        <v>38</v>
      </c>
      <c r="D12" s="2" t="s">
        <v>8</v>
      </c>
      <c r="E12" s="2" t="s">
        <v>9</v>
      </c>
      <c r="F12" s="2" t="s">
        <v>10</v>
      </c>
    </row>
    <row r="13" spans="1:12" x14ac:dyDescent="0.2">
      <c r="A13" s="2" t="s">
        <v>31</v>
      </c>
      <c r="B13" s="3">
        <v>46060</v>
      </c>
      <c r="C13" s="2" t="s">
        <v>39</v>
      </c>
      <c r="D13" s="2" t="s">
        <v>8</v>
      </c>
      <c r="E13" s="2" t="s">
        <v>12</v>
      </c>
      <c r="F13" s="2" t="s">
        <v>14</v>
      </c>
    </row>
    <row r="14" spans="1:12" x14ac:dyDescent="0.2">
      <c r="A14" s="2" t="s">
        <v>49</v>
      </c>
      <c r="B14" s="3">
        <v>46061</v>
      </c>
      <c r="C14" s="2" t="s">
        <v>50</v>
      </c>
      <c r="D14" s="2" t="s">
        <v>41</v>
      </c>
      <c r="E14" s="2" t="s">
        <v>40</v>
      </c>
      <c r="F14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E8" sqref="E8"/>
    </sheetView>
  </sheetViews>
  <sheetFormatPr defaultRowHeight="14.25" x14ac:dyDescent="0.2"/>
  <cols>
    <col min="1" max="1" width="13" bestFit="1" customWidth="1"/>
    <col min="2" max="2" width="11.25" bestFit="1" customWidth="1"/>
    <col min="3" max="3" width="12.5" customWidth="1"/>
    <col min="4" max="4" width="13.5" bestFit="1" customWidth="1"/>
  </cols>
  <sheetData>
    <row r="1" spans="1:4" ht="18.75" thickBot="1" x14ac:dyDescent="0.3">
      <c r="A1" s="11" t="s">
        <v>42</v>
      </c>
      <c r="B1" s="12"/>
      <c r="C1" s="13"/>
    </row>
    <row r="3" spans="1:4" x14ac:dyDescent="0.2">
      <c r="A3" s="5" t="s">
        <v>43</v>
      </c>
      <c r="B3" s="6">
        <f>COUNTA(Table1[Lead ID])</f>
        <v>13</v>
      </c>
    </row>
    <row r="4" spans="1:4" x14ac:dyDescent="0.2">
      <c r="A4" s="5" t="s">
        <v>44</v>
      </c>
      <c r="B4" s="7">
        <f>COUNTIF(Table1[Status], "Converted")</f>
        <v>5</v>
      </c>
    </row>
    <row r="5" spans="1:4" x14ac:dyDescent="0.2">
      <c r="A5" s="5" t="s">
        <v>45</v>
      </c>
      <c r="B5" s="5">
        <f>COUNTIF(Table1[Status],"Lost")</f>
        <v>4</v>
      </c>
    </row>
    <row r="6" spans="1:4" x14ac:dyDescent="0.2">
      <c r="A6" s="5" t="s">
        <v>46</v>
      </c>
      <c r="B6" s="5">
        <f>COUNTIF(Table1[Status],"Pending")</f>
        <v>4</v>
      </c>
    </row>
    <row r="7" spans="1:4" x14ac:dyDescent="0.2">
      <c r="A7" s="5" t="s">
        <v>47</v>
      </c>
      <c r="B7" s="8">
        <f>B4/B3</f>
        <v>0.38461538461538464</v>
      </c>
    </row>
    <row r="8" spans="1:4" ht="15" thickBot="1" x14ac:dyDescent="0.25">
      <c r="B8" s="2"/>
    </row>
    <row r="9" spans="1:4" ht="18.75" thickBot="1" x14ac:dyDescent="0.3">
      <c r="A9" s="11" t="s">
        <v>48</v>
      </c>
      <c r="B9" s="12"/>
      <c r="C9" s="13"/>
    </row>
    <row r="10" spans="1:4" ht="15" x14ac:dyDescent="0.25">
      <c r="A10" s="10" t="s">
        <v>4</v>
      </c>
      <c r="B10" s="10" t="s">
        <v>43</v>
      </c>
      <c r="C10" s="10" t="s">
        <v>10</v>
      </c>
      <c r="D10" s="9" t="s">
        <v>47</v>
      </c>
    </row>
    <row r="11" spans="1:4" x14ac:dyDescent="0.2">
      <c r="A11" s="6" t="s">
        <v>18</v>
      </c>
      <c r="B11" s="6">
        <f>COUNTIF(Table1[Salesperson],"Sana")</f>
        <v>3</v>
      </c>
      <c r="C11" s="6">
        <f>COUNTIFS(Table1[Salesperson],"Sana",Table1[Status],"Converted")</f>
        <v>1</v>
      </c>
      <c r="D11" s="14">
        <f>C11/B11</f>
        <v>0.33333333333333331</v>
      </c>
    </row>
    <row r="12" spans="1:4" x14ac:dyDescent="0.2">
      <c r="A12" s="6" t="s">
        <v>9</v>
      </c>
      <c r="B12" s="6">
        <f>COUNTIF(Table1[Salesperson],"Ahmed")</f>
        <v>3</v>
      </c>
      <c r="C12" s="6">
        <f>COUNTIFS(Table1[Salesperson],"Ahmed",Table1[Status],"Converted")</f>
        <v>2</v>
      </c>
      <c r="D12" s="14">
        <f t="shared" ref="D12:D15" si="0">C12/B12</f>
        <v>0.66666666666666663</v>
      </c>
    </row>
    <row r="13" spans="1:4" x14ac:dyDescent="0.2">
      <c r="A13" s="6" t="s">
        <v>24</v>
      </c>
      <c r="B13" s="6">
        <f>COUNTIF(Table1[Salesperson],"Javed")</f>
        <v>2</v>
      </c>
      <c r="C13" s="6">
        <f>COUNTIFS(Table1[Salesperson],"Javed",Table1[Status],"Converted")</f>
        <v>1</v>
      </c>
      <c r="D13" s="14">
        <f t="shared" si="0"/>
        <v>0.5</v>
      </c>
    </row>
    <row r="14" spans="1:4" x14ac:dyDescent="0.2">
      <c r="A14" s="6" t="s">
        <v>40</v>
      </c>
      <c r="B14" s="6">
        <f>COUNTIF(Table1[Salesperson],"Akbar")</f>
        <v>3</v>
      </c>
      <c r="C14" s="6">
        <f>COUNTIFS(Table1[Salesperson],"Akbar",Table1[Status],"Converted")</f>
        <v>1</v>
      </c>
      <c r="D14" s="14">
        <f t="shared" si="0"/>
        <v>0.33333333333333331</v>
      </c>
    </row>
    <row r="15" spans="1:4" x14ac:dyDescent="0.2">
      <c r="A15" s="6" t="s">
        <v>12</v>
      </c>
      <c r="B15" s="6">
        <f>COUNTIF(Table1[Salesperson],"Sara")</f>
        <v>2</v>
      </c>
      <c r="C15" s="6">
        <f>COUNTIFS(Table1[Salesperson],"Sara",Table1[Status],"Converted")</f>
        <v>0</v>
      </c>
      <c r="D15" s="14">
        <f t="shared" si="0"/>
        <v>0</v>
      </c>
    </row>
  </sheetData>
  <mergeCells count="2">
    <mergeCell ref="A9:C9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Conversion_Report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2026-02-23T14:31:43Z</dcterms:created>
  <dcterms:modified xsi:type="dcterms:W3CDTF">2026-02-23T15:19:21Z</dcterms:modified>
</cp:coreProperties>
</file>