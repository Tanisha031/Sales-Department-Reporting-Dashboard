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E:\Desktop\"/>
    </mc:Choice>
  </mc:AlternateContent>
  <bookViews>
    <workbookView xWindow="0" yWindow="0" windowWidth="20490" windowHeight="7095" activeTab="2"/>
  </bookViews>
  <sheets>
    <sheet name="Raw Data" sheetId="1" r:id="rId1"/>
    <sheet name="Sales Data" sheetId="2" r:id="rId2"/>
    <sheet name="KPI_Calculations" sheetId="3" r:id="rId3"/>
  </sheets>
  <definedNames>
    <definedName name="Slicer_Date">#N/A</definedName>
    <definedName name="Slicer_Region">#N/A</definedName>
    <definedName name="Slicer_Salesperson">#N/A</definedName>
  </definedNames>
  <calcPr calcId="162913"/>
  <pivotCaches>
    <pivotCache cacheId="1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2" i="3" l="1"/>
  <c r="B9" i="3"/>
  <c r="B6" i="3"/>
  <c r="B5" i="3"/>
  <c r="B7" i="3" s="1"/>
  <c r="B4" i="3"/>
  <c r="B8" i="3" s="1"/>
  <c r="B10" i="3" l="1"/>
  <c r="B11" i="3" s="1"/>
</calcChain>
</file>

<file path=xl/sharedStrings.xml><?xml version="1.0" encoding="utf-8"?>
<sst xmlns="http://schemas.openxmlformats.org/spreadsheetml/2006/main" count="172" uniqueCount="68">
  <si>
    <t>Date</t>
  </si>
  <si>
    <t>Invoice No</t>
  </si>
  <si>
    <t>Salesperson</t>
  </si>
  <si>
    <t>Region</t>
  </si>
  <si>
    <t>Customer Name</t>
  </si>
  <si>
    <t>Leads</t>
  </si>
  <si>
    <t>Orders</t>
  </si>
  <si>
    <t>Revenue</t>
  </si>
  <si>
    <t>Cost</t>
  </si>
  <si>
    <t>South</t>
  </si>
  <si>
    <t>ABC Traders</t>
  </si>
  <si>
    <t>North</t>
  </si>
  <si>
    <t>West</t>
  </si>
  <si>
    <t>East</t>
  </si>
  <si>
    <t>Star Retail</t>
  </si>
  <si>
    <t>Grand Total</t>
  </si>
  <si>
    <t>INV1001</t>
  </si>
  <si>
    <t>Ali Khan</t>
  </si>
  <si>
    <t>INV1002</t>
  </si>
  <si>
    <t>Sara Ahmed</t>
  </si>
  <si>
    <t>Bright Solutions</t>
  </si>
  <si>
    <t>INV1003</t>
  </si>
  <si>
    <t>Hamza Ali</t>
  </si>
  <si>
    <t>Nova Enterprises</t>
  </si>
  <si>
    <t>INV1004</t>
  </si>
  <si>
    <t>Metro Supplies</t>
  </si>
  <si>
    <t>INV1005</t>
  </si>
  <si>
    <t>Prime Mart</t>
  </si>
  <si>
    <t>INV1006</t>
  </si>
  <si>
    <t>Alpha Traders</t>
  </si>
  <si>
    <t>INV1007</t>
  </si>
  <si>
    <t>INV1008</t>
  </si>
  <si>
    <t>Global Mart</t>
  </si>
  <si>
    <t>INV1009</t>
  </si>
  <si>
    <t>Quick Supplies</t>
  </si>
  <si>
    <t>INV1010</t>
  </si>
  <si>
    <t>Sky Enterprises</t>
  </si>
  <si>
    <t>INV1011</t>
  </si>
  <si>
    <t>Royal Traders</t>
  </si>
  <si>
    <t>INV1012</t>
  </si>
  <si>
    <t>Vision Mart</t>
  </si>
  <si>
    <t>INV1013</t>
  </si>
  <si>
    <t>Horizon Stores</t>
  </si>
  <si>
    <t>INV1014</t>
  </si>
  <si>
    <t>Smart Solutions</t>
  </si>
  <si>
    <t>INV1015</t>
  </si>
  <si>
    <t>Future Retail</t>
  </si>
  <si>
    <t>KPI</t>
  </si>
  <si>
    <t>Values</t>
  </si>
  <si>
    <t>Total Revenue</t>
  </si>
  <si>
    <t>Total Orders</t>
  </si>
  <si>
    <t>Total Leads</t>
  </si>
  <si>
    <t>Conversion Rate %</t>
  </si>
  <si>
    <t>Avg Order Value (AOV)</t>
  </si>
  <si>
    <t>Total Cost</t>
  </si>
  <si>
    <t>Gross Profit</t>
  </si>
  <si>
    <t>Profit Margin</t>
  </si>
  <si>
    <t>Growth %</t>
  </si>
  <si>
    <t>Dec</t>
  </si>
  <si>
    <t>Jan</t>
  </si>
  <si>
    <t>Feb</t>
  </si>
  <si>
    <t>Monthly Revenue</t>
  </si>
  <si>
    <t>Sales By Region</t>
  </si>
  <si>
    <t>Regions</t>
  </si>
  <si>
    <t>Months</t>
  </si>
  <si>
    <t>Sales By Salespersons</t>
  </si>
  <si>
    <t>Salespersons</t>
  </si>
  <si>
    <t>SALES KPI's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</si>
</sst>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1" formatCode="_-[$Rs-420]\ * #,##0_-;\-[$Rs-420]\ * #,##0_-;_-[$Rs-420]\ * &quot;-&quot;??_-;_-@_-"/>
  </numFmts>
  <fonts count="5" x14ac:knownFonts="1">
    <font>
      <sz val="11"/>
      <color theme="1"/>
      <name val="Arial"/>
      <family val="2"/>
      <scheme val="minor"/>
    </font>
    <font>
      <sz val="11"/>
      <color theme="1"/>
      <name val="Arial"/>
      <family val="2"/>
      <scheme val="minor"/>
    </font>
    <font>
      <b/>
      <sz val="11"/>
      <color theme="1"/>
      <name val="Arial"/>
      <family val="2"/>
      <scheme val="minor"/>
    </font>
    <font>
      <b/>
      <sz val="12"/>
      <color theme="1"/>
      <name val="Arial"/>
      <family val="2"/>
      <scheme val="minor"/>
    </font>
    <font>
      <b/>
      <sz val="18"/>
      <color theme="1"/>
      <name val="Arial"/>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171" fontId="0" fillId="0" borderId="0" xfId="0" applyNumberFormat="1"/>
    <xf numFmtId="171" fontId="0" fillId="0" borderId="0" xfId="0" applyNumberFormat="1" applyAlignment="1">
      <alignment vertical="center" wrapText="1"/>
    </xf>
    <xf numFmtId="0" fontId="0" fillId="0" borderId="0" xfId="0" pivotButton="1"/>
    <xf numFmtId="14" fontId="0" fillId="0" borderId="0" xfId="0" applyNumberFormat="1" applyAlignment="1">
      <alignment horizontal="left"/>
    </xf>
    <xf numFmtId="0" fontId="0" fillId="0" borderId="0" xfId="0" applyAlignment="1">
      <alignment horizontal="left"/>
    </xf>
    <xf numFmtId="0" fontId="0" fillId="0" borderId="1" xfId="0" applyBorder="1"/>
    <xf numFmtId="171" fontId="0" fillId="0" borderId="1" xfId="0" applyNumberFormat="1" applyBorder="1"/>
    <xf numFmtId="9" fontId="0" fillId="0" borderId="1" xfId="1" applyFont="1" applyBorder="1"/>
    <xf numFmtId="0" fontId="3" fillId="2" borderId="1" xfId="0" applyFont="1" applyFill="1" applyBorder="1" applyAlignment="1">
      <alignment horizontal="center"/>
    </xf>
    <xf numFmtId="0" fontId="3" fillId="2" borderId="0" xfId="0" applyFont="1" applyFill="1"/>
    <xf numFmtId="14" fontId="3" fillId="2" borderId="0" xfId="0" applyNumberFormat="1" applyFont="1" applyFill="1" applyAlignment="1">
      <alignment horizontal="left"/>
    </xf>
    <xf numFmtId="0" fontId="0" fillId="2" borderId="0" xfId="0" applyFill="1"/>
    <xf numFmtId="0" fontId="4" fillId="2" borderId="0" xfId="0" applyFont="1" applyFill="1" applyAlignment="1">
      <alignment horizontal="left"/>
    </xf>
  </cellXfs>
  <cellStyles count="2">
    <cellStyle name="Normal" xfId="0" builtinId="0"/>
    <cellStyle name="Percent" xfId="1" builtinId="5"/>
  </cellStyles>
  <dxfs count="20">
    <dxf>
      <numFmt numFmtId="169" formatCode="_-[$Rs-420]\ * #,##0.00_-;\-[$Rs-420]\ * #,##0.00_-;_-[$Rs-420]\ * &quot;-&quot;??_-;_-@_-"/>
    </dxf>
    <dxf>
      <numFmt numFmtId="170" formatCode="_-[$Rs-420]\ * #,##0.0_-;\-[$Rs-420]\ * #,##0.0_-;_-[$Rs-420]\ * &quot;-&quot;??_-;_-@_-"/>
    </dxf>
    <dxf>
      <numFmt numFmtId="171" formatCode="_-[$Rs-420]\ * #,##0_-;\-[$Rs-420]\ * #,##0_-;_-[$Rs-420]\ * &quot;-&quot;??_-;_-@_-"/>
    </dxf>
    <dxf>
      <numFmt numFmtId="169" formatCode="_-[$Rs-420]\ * #,##0.00_-;\-[$Rs-420]\ * #,##0.00_-;_-[$Rs-420]\ * &quot;-&quot;??_-;_-@_-"/>
    </dxf>
    <dxf>
      <numFmt numFmtId="170" formatCode="_-[$Rs-420]\ * #,##0.0_-;\-[$Rs-420]\ * #,##0.0_-;_-[$Rs-420]\ * &quot;-&quot;??_-;_-@_-"/>
    </dxf>
    <dxf>
      <numFmt numFmtId="171" formatCode="_-[$Rs-420]\ * #,##0_-;\-[$Rs-420]\ * #,##0_-;_-[$Rs-420]\ * &quot;-&quot;??_-;_-@_-"/>
    </dxf>
    <dxf>
      <numFmt numFmtId="169" formatCode="_-[$Rs-420]\ * #,##0.00_-;\-[$Rs-420]\ * #,##0.00_-;_-[$Rs-420]\ * &quot;-&quot;??_-;_-@_-"/>
    </dxf>
    <dxf>
      <numFmt numFmtId="170" formatCode="_-[$Rs-420]\ * #,##0.0_-;\-[$Rs-420]\ * #,##0.0_-;_-[$Rs-420]\ * &quot;-&quot;??_-;_-@_-"/>
    </dxf>
    <dxf>
      <numFmt numFmtId="171" formatCode="_-[$Rs-420]\ * #,##0_-;\-[$Rs-420]\ * #,##0_-;_-[$Rs-420]\ * &quot;-&quot;??_-;_-@_-"/>
    </dxf>
    <dxf>
      <numFmt numFmtId="171" formatCode="_-[$Rs-420]\ * #,##0_-;\-[$Rs-420]\ * #,##0_-;_-[$Rs-420]\ * &quot;-&quot;??_-;_-@_-"/>
      <alignment horizontal="general" vertical="center" textRotation="0" wrapText="1" indent="0" justifyLastLine="0" shrinkToFit="0" readingOrder="0"/>
    </dxf>
    <dxf>
      <numFmt numFmtId="171" formatCode="_-[$Rs-420]\ * #,##0_-;\-[$Rs-420]\ * #,##0_-;_-[$Rs-420]\ * &quot;-&quot;??_-;_-@_-"/>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rial"/>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[KPI's Sales Report.xlsx]KPI_Calculations!PivotTable6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ur-PK"/>
        </a:p>
      </c:txPr>
    </c:title>
    <c:autoTitleDeleted val="0"/>
    <c:pivotFmts>
      <c:pivotFmt>
        <c:idx val="0"/>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r-PK"/>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KPI_Calculations!$B$15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r-PK"/>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KPI_Calculations!$A$16:$A$19</c:f>
              <c:strCache>
                <c:ptCount val="3"/>
                <c:pt idx="0">
                  <c:v>Jan</c:v>
                </c:pt>
                <c:pt idx="1">
                  <c:v>Feb</c:v>
                </c:pt>
                <c:pt idx="2">
                  <c:v>Dec</c:v>
                </c:pt>
              </c:strCache>
            </c:strRef>
          </c:cat>
          <c:val>
            <c:numRef>
              <c:f>KPI_Calculations!$B$16:$B$19</c:f>
              <c:numCache>
                <c:formatCode>_-[$Rs-420]\ * #,##0_-;\-[$Rs-420]\ * #,##0_-;_-[$Rs-420]\ * "-"??_-;_-@_-</c:formatCode>
                <c:ptCount val="3"/>
                <c:pt idx="0">
                  <c:v>170000</c:v>
                </c:pt>
                <c:pt idx="1">
                  <c:v>180000</c:v>
                </c:pt>
                <c:pt idx="2">
                  <c:v>145000</c:v>
                </c:pt>
              </c:numCache>
            </c:numRef>
          </c:val>
          <c:smooth val="0"/>
          <c:extLst>
            <c:ext xmlns:c16="http://schemas.microsoft.com/office/drawing/2014/chart" uri="{C3380CC4-5D6E-409C-BE32-E72D297353CC}">
              <c16:uniqueId val="{00000000-037B-41E6-9ED8-BECA97336DE1}"/>
            </c:ext>
          </c:extLst>
        </c:ser>
        <c:dLbls>
          <c:dLblPos val="t"/>
          <c:showLegendKey val="0"/>
          <c:showVal val="1"/>
          <c:showCatName val="0"/>
          <c:showSerName val="0"/>
          <c:showPercent val="0"/>
          <c:showBubbleSize val="0"/>
        </c:dLbls>
        <c:smooth val="0"/>
        <c:axId val="760256656"/>
        <c:axId val="760259152"/>
      </c:lineChart>
      <c:catAx>
        <c:axId val="76025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r-PK"/>
          </a:p>
        </c:txPr>
        <c:crossAx val="760259152"/>
        <c:crosses val="autoZero"/>
        <c:auto val="1"/>
        <c:lblAlgn val="ctr"/>
        <c:lblOffset val="100"/>
        <c:noMultiLvlLbl val="0"/>
      </c:catAx>
      <c:valAx>
        <c:axId val="760259152"/>
        <c:scaling>
          <c:orientation val="minMax"/>
        </c:scaling>
        <c:delete val="0"/>
        <c:axPos val="l"/>
        <c:majorGridlines>
          <c:spPr>
            <a:ln w="9525" cap="flat" cmpd="sng" algn="ctr">
              <a:solidFill>
                <a:schemeClr val="tx1">
                  <a:lumMod val="15000"/>
                  <a:lumOff val="85000"/>
                </a:schemeClr>
              </a:solidFill>
              <a:round/>
            </a:ln>
            <a:effectLst/>
          </c:spPr>
        </c:majorGridlines>
        <c:numFmt formatCode="_-[$Rs-420]\ * #,##0_-;\-[$Rs-420]\ * #,##0_-;_-[$Rs-420]\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r-PK"/>
          </a:p>
        </c:txPr>
        <c:crossAx val="7602566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ur-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[KPI's Sales Report.xlsx]KPI_Calculations!PivotTable7</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ur-PK"/>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KPI_Calculations!$B$22</c:f>
              <c:strCache>
                <c:ptCount val="1"/>
                <c:pt idx="0">
                  <c:v>Total</c:v>
                </c:pt>
              </c:strCache>
            </c:strRef>
          </c:tx>
          <c:spPr>
            <a:solidFill>
              <a:schemeClr val="accent1"/>
            </a:solidFill>
            <a:ln>
              <a:noFill/>
            </a:ln>
            <a:effectLst/>
          </c:spPr>
          <c:invertIfNegative val="0"/>
          <c:cat>
            <c:strRef>
              <c:f>KPI_Calculations!$A$23:$A$27</c:f>
              <c:strCache>
                <c:ptCount val="4"/>
                <c:pt idx="0">
                  <c:v>East</c:v>
                </c:pt>
                <c:pt idx="1">
                  <c:v>South</c:v>
                </c:pt>
                <c:pt idx="2">
                  <c:v>North</c:v>
                </c:pt>
                <c:pt idx="3">
                  <c:v>West</c:v>
                </c:pt>
              </c:strCache>
            </c:strRef>
          </c:cat>
          <c:val>
            <c:numRef>
              <c:f>KPI_Calculations!$B$23:$B$27</c:f>
              <c:numCache>
                <c:formatCode>_-[$Rs-420]\ * #,##0_-;\-[$Rs-420]\ * #,##0_-;_-[$Rs-420]\ * "-"??_-;_-@_-</c:formatCode>
                <c:ptCount val="4"/>
                <c:pt idx="0">
                  <c:v>146000</c:v>
                </c:pt>
                <c:pt idx="1">
                  <c:v>135000</c:v>
                </c:pt>
                <c:pt idx="2">
                  <c:v>115000</c:v>
                </c:pt>
                <c:pt idx="3">
                  <c:v>99000</c:v>
                </c:pt>
              </c:numCache>
            </c:numRef>
          </c:val>
          <c:extLst>
            <c:ext xmlns:c16="http://schemas.microsoft.com/office/drawing/2014/chart" uri="{C3380CC4-5D6E-409C-BE32-E72D297353CC}">
              <c16:uniqueId val="{00000000-5848-4F16-8E3F-FAC287BAA168}"/>
            </c:ext>
          </c:extLst>
        </c:ser>
        <c:dLbls>
          <c:showLegendKey val="0"/>
          <c:showVal val="0"/>
          <c:showCatName val="0"/>
          <c:showSerName val="0"/>
          <c:showPercent val="0"/>
          <c:showBubbleSize val="0"/>
        </c:dLbls>
        <c:gapWidth val="219"/>
        <c:overlap val="-27"/>
        <c:axId val="973972416"/>
        <c:axId val="973973664"/>
      </c:barChart>
      <c:catAx>
        <c:axId val="97397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r-PK"/>
          </a:p>
        </c:txPr>
        <c:crossAx val="973973664"/>
        <c:crosses val="autoZero"/>
        <c:auto val="1"/>
        <c:lblAlgn val="ctr"/>
        <c:lblOffset val="100"/>
        <c:noMultiLvlLbl val="0"/>
      </c:catAx>
      <c:valAx>
        <c:axId val="973973664"/>
        <c:scaling>
          <c:orientation val="minMax"/>
        </c:scaling>
        <c:delete val="0"/>
        <c:axPos val="l"/>
        <c:majorGridlines>
          <c:spPr>
            <a:ln w="9525" cap="flat" cmpd="sng" algn="ctr">
              <a:solidFill>
                <a:schemeClr val="tx1">
                  <a:lumMod val="15000"/>
                  <a:lumOff val="85000"/>
                </a:schemeClr>
              </a:solidFill>
              <a:round/>
            </a:ln>
            <a:effectLst/>
          </c:spPr>
        </c:majorGridlines>
        <c:numFmt formatCode="_-[$Rs-420]\ * #,##0_-;\-[$Rs-420]\ * #,##0_-;_-[$Rs-420]\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r-PK"/>
          </a:p>
        </c:txPr>
        <c:crossAx val="9739724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ur-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[KPI's Sales Report.xlsx]KPI_Calculations!PivotTable8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Salepersons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ur-PK"/>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KPI_Calculations!$B$30</c:f>
              <c:strCache>
                <c:ptCount val="1"/>
                <c:pt idx="0">
                  <c:v>Total</c:v>
                </c:pt>
              </c:strCache>
            </c:strRef>
          </c:tx>
          <c:spPr>
            <a:solidFill>
              <a:schemeClr val="accent1"/>
            </a:solidFill>
            <a:ln>
              <a:noFill/>
            </a:ln>
            <a:effectLst/>
          </c:spPr>
          <c:invertIfNegative val="0"/>
          <c:cat>
            <c:strRef>
              <c:f>KPI_Calculations!$A$31:$A$34</c:f>
              <c:strCache>
                <c:ptCount val="3"/>
                <c:pt idx="0">
                  <c:v>Ali Khan</c:v>
                </c:pt>
                <c:pt idx="1">
                  <c:v>Sara Ahmed</c:v>
                </c:pt>
                <c:pt idx="2">
                  <c:v>Hamza Ali</c:v>
                </c:pt>
              </c:strCache>
            </c:strRef>
          </c:cat>
          <c:val>
            <c:numRef>
              <c:f>KPI_Calculations!$B$31:$B$34</c:f>
              <c:numCache>
                <c:formatCode>_-[$Rs-420]\ * #,##0_-;\-[$Rs-420]\ * #,##0_-;_-[$Rs-420]\ * "-"??_-;_-@_-</c:formatCode>
                <c:ptCount val="3"/>
                <c:pt idx="0">
                  <c:v>181000</c:v>
                </c:pt>
                <c:pt idx="1">
                  <c:v>170000</c:v>
                </c:pt>
                <c:pt idx="2">
                  <c:v>144000</c:v>
                </c:pt>
              </c:numCache>
            </c:numRef>
          </c:val>
          <c:extLst>
            <c:ext xmlns:c16="http://schemas.microsoft.com/office/drawing/2014/chart" uri="{C3380CC4-5D6E-409C-BE32-E72D297353CC}">
              <c16:uniqueId val="{00000000-F0DA-4188-B8A9-1FDBA2E05C2F}"/>
            </c:ext>
          </c:extLst>
        </c:ser>
        <c:dLbls>
          <c:showLegendKey val="0"/>
          <c:showVal val="0"/>
          <c:showCatName val="0"/>
          <c:showSerName val="0"/>
          <c:showPercent val="0"/>
          <c:showBubbleSize val="0"/>
        </c:dLbls>
        <c:gapWidth val="182"/>
        <c:axId val="973974080"/>
        <c:axId val="973975328"/>
      </c:barChart>
      <c:catAx>
        <c:axId val="973974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Salesperson</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ur-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r-PK"/>
          </a:p>
        </c:txPr>
        <c:crossAx val="973975328"/>
        <c:crosses val="autoZero"/>
        <c:auto val="1"/>
        <c:lblAlgn val="ctr"/>
        <c:lblOffset val="100"/>
        <c:noMultiLvlLbl val="0"/>
      </c:catAx>
      <c:valAx>
        <c:axId val="9739753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ur-PK"/>
            </a:p>
          </c:txPr>
        </c:title>
        <c:numFmt formatCode="_-[$Rs-420]\ * #,##0_-;\-[$Rs-420]\ * #,##0_-;_-[$Rs-420]\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r-PK"/>
          </a:p>
        </c:txPr>
        <c:crossAx val="9739740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ur-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547688</xdr:colOff>
      <xdr:row>5</xdr:row>
      <xdr:rowOff>42862</xdr:rowOff>
    </xdr:from>
    <xdr:to>
      <xdr:col>8</xdr:col>
      <xdr:colOff>200026</xdr:colOff>
      <xdr:row>16</xdr:row>
      <xdr:rowOff>133350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538162</xdr:colOff>
      <xdr:row>17</xdr:row>
      <xdr:rowOff>80962</xdr:rowOff>
    </xdr:from>
    <xdr:to>
      <xdr:col>8</xdr:col>
      <xdr:colOff>219075</xdr:colOff>
      <xdr:row>28</xdr:row>
      <xdr:rowOff>152400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528637</xdr:colOff>
      <xdr:row>29</xdr:row>
      <xdr:rowOff>57150</xdr:rowOff>
    </xdr:from>
    <xdr:to>
      <xdr:col>8</xdr:col>
      <xdr:colOff>200025</xdr:colOff>
      <xdr:row>41</xdr:row>
      <xdr:rowOff>9524</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200025</xdr:colOff>
      <xdr:row>5</xdr:row>
      <xdr:rowOff>47624</xdr:rowOff>
    </xdr:from>
    <xdr:to>
      <xdr:col>11</xdr:col>
      <xdr:colOff>123825</xdr:colOff>
      <xdr:row>11</xdr:row>
      <xdr:rowOff>161925</xdr:rowOff>
    </xdr:to>
    <mc:AlternateContent xmlns:mc="http://schemas.openxmlformats.org/markup-compatibility/2006">
      <mc:Choice xmlns:a14="http://schemas.microsoft.com/office/drawing/2010/main" Requires="a14">
        <xdr:graphicFrame macro="">
          <xdr:nvGraphicFramePr>
            <xdr:cNvPr id="6" name="Date"/>
            <xdr:cNvGraphicFramePr>
              <a:graphicFrameLocks/>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7143750" y="1085849"/>
              <a:ext cx="1981200" cy="1200151"/>
            </a:xfrm>
            <a:prstGeom prst="rect">
              <a:avLst/>
            </a:prstGeom>
            <a:solidFill>
              <a:prstClr val="white"/>
            </a:solidFill>
            <a:ln w="1">
              <a:solidFill>
                <a:prstClr val="green"/>
              </a:solidFill>
            </a:ln>
          </xdr:spPr>
          <xdr:txBody>
            <a:bodyPr vertOverflow="clip" horzOverflow="clip"/>
            <a:lstStyle/>
            <a:p>
              <a:r>
                <a:rPr lang="ur-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238125</xdr:colOff>
      <xdr:row>17</xdr:row>
      <xdr:rowOff>85726</xdr:rowOff>
    </xdr:from>
    <xdr:to>
      <xdr:col>11</xdr:col>
      <xdr:colOff>9525</xdr:colOff>
      <xdr:row>25</xdr:row>
      <xdr:rowOff>9526</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181850" y="3314701"/>
              <a:ext cx="1828800" cy="1390650"/>
            </a:xfrm>
            <a:prstGeom prst="rect">
              <a:avLst/>
            </a:prstGeom>
            <a:solidFill>
              <a:prstClr val="white"/>
            </a:solidFill>
            <a:ln w="1">
              <a:solidFill>
                <a:prstClr val="green"/>
              </a:solidFill>
            </a:ln>
          </xdr:spPr>
          <xdr:txBody>
            <a:bodyPr vertOverflow="clip" horzOverflow="clip"/>
            <a:lstStyle/>
            <a:p>
              <a:r>
                <a:rPr lang="ur-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219075</xdr:colOff>
      <xdr:row>29</xdr:row>
      <xdr:rowOff>57151</xdr:rowOff>
    </xdr:from>
    <xdr:to>
      <xdr:col>10</xdr:col>
      <xdr:colOff>676275</xdr:colOff>
      <xdr:row>35</xdr:row>
      <xdr:rowOff>95251</xdr:rowOff>
    </xdr:to>
    <mc:AlternateContent xmlns:mc="http://schemas.openxmlformats.org/markup-compatibility/2006">
      <mc:Choice xmlns:a14="http://schemas.microsoft.com/office/drawing/2010/main" Requires="a14">
        <xdr:graphicFrame macro="">
          <xdr:nvGraphicFramePr>
            <xdr:cNvPr id="8" name="Salesperson"/>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7162800" y="5495926"/>
              <a:ext cx="1828800" cy="1123950"/>
            </a:xfrm>
            <a:prstGeom prst="rect">
              <a:avLst/>
            </a:prstGeom>
            <a:solidFill>
              <a:prstClr val="white"/>
            </a:solidFill>
            <a:ln w="1">
              <a:solidFill>
                <a:prstClr val="green"/>
              </a:solidFill>
            </a:ln>
          </xdr:spPr>
          <xdr:txBody>
            <a:bodyPr vertOverflow="clip" horzOverflow="clip"/>
            <a:lstStyle/>
            <a:p>
              <a:r>
                <a:rPr lang="ur-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6076.745341319445" createdVersion="6" refreshedVersion="6" minRefreshableVersion="3" recordCount="15">
  <cacheSource type="worksheet">
    <worksheetSource name="Table2"/>
  </cacheSource>
  <cacheFields count="9">
    <cacheField name="Date" numFmtId="14">
      <sharedItems containsSemiMixedTypes="0" containsNonDate="0" containsDate="1" containsString="0" minDate="2025-12-02T00:00:00" maxDate="2026-02-27T00:00:00" count="15">
        <d v="2025-12-02T00:00:00"/>
        <d v="2025-12-05T00:00:00"/>
        <d v="2025-12-09T00:00:00"/>
        <d v="2025-12-14T00:00:00"/>
        <d v="2025-12-20T00:00:00"/>
        <d v="2026-01-03T00:00:00"/>
        <d v="2026-01-07T00:00:00"/>
        <d v="2026-01-12T00:00:00"/>
        <d v="2026-01-18T00:00:00"/>
        <d v="2026-01-25T00:00:00"/>
        <d v="2026-02-04T00:00:00"/>
        <d v="2026-02-08T00:00:00"/>
        <d v="2026-02-14T00:00:00"/>
        <d v="2026-02-19T00:00:00"/>
        <d v="2026-02-26T00:00:00"/>
      </sharedItems>
      <fieldGroup base="0">
        <rangePr groupBy="months" startDate="2025-12-02T00:00:00" endDate="2026-02-27T00:00:00"/>
        <groupItems count="14">
          <s v="&lt;02-12-25"/>
          <s v="Jan"/>
          <s v="Feb"/>
          <s v="Mar"/>
          <s v="Apr"/>
          <s v="May"/>
          <s v="Jun"/>
          <s v="Jul"/>
          <s v="Aug"/>
          <s v="Sep"/>
          <s v="Oct"/>
          <s v="Nov"/>
          <s v="Dec"/>
          <s v="&gt;27-02-26"/>
        </groupItems>
      </fieldGroup>
    </cacheField>
    <cacheField name="Invoice No" numFmtId="0">
      <sharedItems/>
    </cacheField>
    <cacheField name="Salesperson" numFmtId="0">
      <sharedItems count="3">
        <s v="Ali Khan"/>
        <s v="Sara Ahmed"/>
        <s v="Hamza Ali"/>
      </sharedItems>
    </cacheField>
    <cacheField name="Region" numFmtId="0">
      <sharedItems count="4">
        <s v="North"/>
        <s v="South"/>
        <s v="East"/>
        <s v="West"/>
      </sharedItems>
    </cacheField>
    <cacheField name="Customer Name" numFmtId="0">
      <sharedItems/>
    </cacheField>
    <cacheField name="Leads" numFmtId="0">
      <sharedItems containsSemiMixedTypes="0" containsString="0" containsNumber="1" containsInteger="1" minValue="15" maxValue="26"/>
    </cacheField>
    <cacheField name="Orders" numFmtId="0">
      <sharedItems containsSemiMixedTypes="0" containsString="0" containsNumber="1" containsInteger="1" minValue="5" maxValue="9"/>
    </cacheField>
    <cacheField name="Revenue" numFmtId="171">
      <sharedItems containsSemiMixedTypes="0" containsString="0" containsNumber="1" containsInteger="1" minValue="24000" maxValue="45000"/>
    </cacheField>
    <cacheField name="Cost" numFmtId="171">
      <sharedItems containsSemiMixedTypes="0" containsString="0" containsNumber="1" containsInteger="1" minValue="17000" maxValue="31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
  <r>
    <x v="0"/>
    <s v="INV1001"/>
    <x v="0"/>
    <x v="0"/>
    <s v="ABC Traders"/>
    <n v="15"/>
    <n v="5"/>
    <n v="25000"/>
    <n v="18000"/>
  </r>
  <r>
    <x v="1"/>
    <s v="INV1002"/>
    <x v="1"/>
    <x v="1"/>
    <s v="Bright Solutions"/>
    <n v="20"/>
    <n v="7"/>
    <n v="32000"/>
    <n v="21000"/>
  </r>
  <r>
    <x v="2"/>
    <s v="INV1003"/>
    <x v="2"/>
    <x v="2"/>
    <s v="Nova Enterprises"/>
    <n v="18"/>
    <n v="6"/>
    <n v="28000"/>
    <n v="19000"/>
  </r>
  <r>
    <x v="3"/>
    <s v="INV1004"/>
    <x v="0"/>
    <x v="3"/>
    <s v="Metro Supplies"/>
    <n v="22"/>
    <n v="8"/>
    <n v="36000"/>
    <n v="25000"/>
  </r>
  <r>
    <x v="4"/>
    <s v="INV1005"/>
    <x v="1"/>
    <x v="0"/>
    <s v="Prime Mart"/>
    <n v="16"/>
    <n v="5"/>
    <n v="24000"/>
    <n v="17000"/>
  </r>
  <r>
    <x v="5"/>
    <s v="INV1006"/>
    <x v="2"/>
    <x v="1"/>
    <s v="Alpha Traders"/>
    <n v="19"/>
    <n v="6"/>
    <n v="30000"/>
    <n v="20000"/>
  </r>
  <r>
    <x v="6"/>
    <s v="INV1007"/>
    <x v="0"/>
    <x v="2"/>
    <s v="Star Retail"/>
    <n v="25"/>
    <n v="9"/>
    <n v="42000"/>
    <n v="29000"/>
  </r>
  <r>
    <x v="7"/>
    <s v="INV1008"/>
    <x v="1"/>
    <x v="3"/>
    <s v="Global Mart"/>
    <n v="21"/>
    <n v="7"/>
    <n v="34000"/>
    <n v="23000"/>
  </r>
  <r>
    <x v="8"/>
    <s v="INV1009"/>
    <x v="2"/>
    <x v="0"/>
    <s v="Quick Supplies"/>
    <n v="17"/>
    <n v="5"/>
    <n v="26000"/>
    <n v="18000"/>
  </r>
  <r>
    <x v="9"/>
    <s v="INV1010"/>
    <x v="0"/>
    <x v="1"/>
    <s v="Sky Enterprises"/>
    <n v="23"/>
    <n v="8"/>
    <n v="38000"/>
    <n v="26000"/>
  </r>
  <r>
    <x v="10"/>
    <s v="INV1011"/>
    <x v="1"/>
    <x v="2"/>
    <s v="Royal Traders"/>
    <n v="26"/>
    <n v="9"/>
    <n v="45000"/>
    <n v="31000"/>
  </r>
  <r>
    <x v="11"/>
    <s v="INV1012"/>
    <x v="2"/>
    <x v="3"/>
    <s v="Vision Mart"/>
    <n v="18"/>
    <n v="6"/>
    <n v="29000"/>
    <n v="20000"/>
  </r>
  <r>
    <x v="12"/>
    <s v="INV1013"/>
    <x v="0"/>
    <x v="0"/>
    <s v="Horizon Stores"/>
    <n v="24"/>
    <n v="8"/>
    <n v="40000"/>
    <n v="27000"/>
  </r>
  <r>
    <x v="13"/>
    <s v="INV1014"/>
    <x v="1"/>
    <x v="1"/>
    <s v="Smart Solutions"/>
    <n v="22"/>
    <n v="7"/>
    <n v="35000"/>
    <n v="24000"/>
  </r>
  <r>
    <x v="14"/>
    <s v="INV1015"/>
    <x v="2"/>
    <x v="2"/>
    <s v="Future Retail"/>
    <n v="20"/>
    <n v="6"/>
    <n v="31000"/>
    <n v="2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rowHeaderCaption="Salespersons">
  <location ref="A30:B34" firstHeaderRow="1" firstDataRow="1" firstDataCol="1"/>
  <pivotFields count="9">
    <pivotField numFmtId="14" showAll="0">
      <items count="15">
        <item x="0"/>
        <item x="1"/>
        <item x="2"/>
        <item x="3"/>
        <item x="4"/>
        <item x="5"/>
        <item x="6"/>
        <item x="7"/>
        <item x="8"/>
        <item x="9"/>
        <item x="10"/>
        <item x="11"/>
        <item x="12"/>
        <item x="13"/>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showAll="0"/>
    <pivotField dataField="1" numFmtId="171" showAll="0"/>
    <pivotField numFmtId="171" showAll="0"/>
  </pivotFields>
  <rowFields count="1">
    <field x="2"/>
  </rowFields>
  <rowItems count="4">
    <i>
      <x/>
    </i>
    <i>
      <x v="2"/>
    </i>
    <i>
      <x v="1"/>
    </i>
    <i t="grand">
      <x/>
    </i>
  </rowItems>
  <colItems count="1">
    <i/>
  </colItems>
  <dataFields count="1">
    <dataField name="Total Revenue" fld="7" baseField="0" baseItem="0" numFmtId="171"/>
  </dataFields>
  <formats count="3">
    <format dxfId="6">
      <pivotArea outline="0" collapsedLevelsAreSubtotals="1" fieldPosition="0"/>
    </format>
    <format dxfId="7">
      <pivotArea outline="0" collapsedLevelsAreSubtotals="1" fieldPosition="0"/>
    </format>
    <format dxfId="8">
      <pivotArea outline="0" collapsedLevelsAreSubtotals="1" fieldPosition="0"/>
    </format>
  </formats>
  <chartFormats count="2">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rowHeaderCaption="Regions">
  <location ref="A22:B27" firstHeaderRow="1" firstDataRow="1" firstDataCol="1"/>
  <pivotFields count="9">
    <pivotField numFmtId="14" showAll="0">
      <items count="15">
        <item x="0"/>
        <item x="1"/>
        <item x="2"/>
        <item x="3"/>
        <item x="4"/>
        <item x="5"/>
        <item x="6"/>
        <item x="7"/>
        <item x="8"/>
        <item x="9"/>
        <item x="10"/>
        <item x="11"/>
        <item x="12"/>
        <item x="13"/>
        <item t="default"/>
      </items>
    </pivotField>
    <pivotField showAll="0"/>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71" showAll="0"/>
    <pivotField numFmtId="171" showAll="0"/>
  </pivotFields>
  <rowFields count="1">
    <field x="3"/>
  </rowFields>
  <rowItems count="5">
    <i>
      <x/>
    </i>
    <i>
      <x v="2"/>
    </i>
    <i>
      <x v="1"/>
    </i>
    <i>
      <x v="3"/>
    </i>
    <i t="grand">
      <x/>
    </i>
  </rowItems>
  <colItems count="1">
    <i/>
  </colItems>
  <dataFields count="1">
    <dataField name="Total Revenue" fld="7" baseField="0" baseItem="0" numFmtId="171"/>
  </dataFields>
  <formats count="3">
    <format dxfId="3">
      <pivotArea outline="0" collapsedLevelsAreSubtotals="1" fieldPosition="0"/>
    </format>
    <format dxfId="4">
      <pivotArea outline="0" collapsedLevelsAreSubtotals="1" fieldPosition="0"/>
    </format>
    <format dxfId="5">
      <pivotArea outline="0" collapsedLevelsAreSubtotals="1" fieldPosition="0"/>
    </format>
  </formats>
  <chartFormats count="2">
    <chartFormat chart="13"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rowHeaderCaption="Months">
  <location ref="A15:B19" firstHeaderRow="1" firstDataRow="1" firstDataCol="1"/>
  <pivotFields count="9">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numFmtId="171" showAll="0"/>
    <pivotField numFmtId="171" showAll="0"/>
  </pivotFields>
  <rowFields count="1">
    <field x="0"/>
  </rowFields>
  <rowItems count="4">
    <i>
      <x v="1"/>
    </i>
    <i>
      <x v="2"/>
    </i>
    <i>
      <x v="12"/>
    </i>
    <i t="grand">
      <x/>
    </i>
  </rowItems>
  <colItems count="1">
    <i/>
  </colItems>
  <dataFields count="1">
    <dataField name="Total Revenue" fld="7" baseField="0" baseItem="0" numFmtId="171"/>
  </dataFields>
  <formats count="3">
    <format dxfId="0">
      <pivotArea outline="0" collapsedLevelsAreSubtotals="1" fieldPosition="0"/>
    </format>
    <format dxfId="1">
      <pivotArea outline="0" collapsedLevelsAreSubtotals="1" fieldPosition="0"/>
    </format>
    <format dxfId="2">
      <pivotArea outline="0" collapsedLevelsAreSubtotals="1" fieldPosition="0"/>
    </format>
  </formats>
  <chartFormats count="1">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3" name="PivotTable6"/>
  </pivotTables>
  <data>
    <tabular pivotCacheId="1">
      <items count="14">
        <i x="1" s="1"/>
        <i x="2" s="1"/>
        <i x="12" s="1"/>
        <i x="3" s="1" nd="1"/>
        <i x="4" s="1" nd="1"/>
        <i x="5" s="1" nd="1"/>
        <i x="6" s="1" nd="1"/>
        <i x="7" s="1" nd="1"/>
        <i x="8" s="1" nd="1"/>
        <i x="9" s="1" nd="1"/>
        <i x="10" s="1" nd="1"/>
        <i x="11" s="1" nd="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7"/>
  </pivotTables>
  <data>
    <tabular pivotCacheId="1">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alesperson" sourceName="Salesperson">
  <pivotTables>
    <pivotTable tabId="3" name="PivotTable8"/>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e" cache="Slicer_Date" caption="Date" rowHeight="241300"/>
  <slicer name="Region" cache="Slicer_Region" caption="Region" rowHeight="241300"/>
  <slicer name="Salesperson" cache="Slicer_Salesperson" caption="Salesperson" rowHeight="241300"/>
</slicers>
</file>

<file path=xl/tables/table1.xml><?xml version="1.0" encoding="utf-8"?>
<table xmlns="http://schemas.openxmlformats.org/spreadsheetml/2006/main" id="2" name="Table2" displayName="Table2" ref="A1:I16" totalsRowShown="0" headerRowDxfId="12" dataDxfId="13">
  <autoFilter ref="A1:I16"/>
  <tableColumns count="9">
    <tableColumn id="1" name="Date" dataDxfId="19"/>
    <tableColumn id="2" name="Invoice No" dataDxfId="18"/>
    <tableColumn id="3" name="Salesperson" dataDxfId="17"/>
    <tableColumn id="4" name="Region" dataDxfId="16"/>
    <tableColumn id="5" name="Customer Name" dataDxfId="15"/>
    <tableColumn id="6" name="Leads" dataDxfId="14"/>
    <tableColumn id="7" name="Orders" dataDxfId="11"/>
    <tableColumn id="8" name="Revenue" dataDxfId="10"/>
    <tableColumn id="9" name="Cost"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workbookViewId="0">
      <selection sqref="A1:I16"/>
    </sheetView>
  </sheetViews>
  <sheetFormatPr defaultRowHeight="14.25" x14ac:dyDescent="0.2"/>
  <cols>
    <col min="1" max="1" width="15.25" customWidth="1"/>
    <col min="2" max="2" width="16.5" customWidth="1"/>
    <col min="3" max="3" width="15" customWidth="1"/>
    <col min="5" max="5" width="15.125" customWidth="1"/>
    <col min="6" max="6" width="11.875" customWidth="1"/>
    <col min="7" max="7" width="11.375" customWidth="1"/>
    <col min="8" max="8" width="10.25" customWidth="1"/>
  </cols>
  <sheetData>
    <row r="1" spans="1:9" ht="15" x14ac:dyDescent="0.2">
      <c r="A1" s="1" t="s">
        <v>0</v>
      </c>
      <c r="B1" s="1" t="s">
        <v>1</v>
      </c>
      <c r="C1" s="1" t="s">
        <v>2</v>
      </c>
      <c r="D1" s="1" t="s">
        <v>3</v>
      </c>
      <c r="E1" s="1" t="s">
        <v>4</v>
      </c>
      <c r="F1" s="1" t="s">
        <v>5</v>
      </c>
      <c r="G1" s="1" t="s">
        <v>6</v>
      </c>
      <c r="H1" s="1" t="s">
        <v>7</v>
      </c>
      <c r="I1" s="1" t="s">
        <v>8</v>
      </c>
    </row>
    <row r="2" spans="1:9" x14ac:dyDescent="0.2">
      <c r="A2" s="3">
        <v>45993</v>
      </c>
      <c r="B2" s="2" t="s">
        <v>16</v>
      </c>
      <c r="C2" s="2" t="s">
        <v>17</v>
      </c>
      <c r="D2" s="2" t="s">
        <v>11</v>
      </c>
      <c r="E2" s="2" t="s">
        <v>10</v>
      </c>
      <c r="F2" s="2">
        <v>15</v>
      </c>
      <c r="G2" s="2">
        <v>5</v>
      </c>
      <c r="H2" s="2">
        <v>25000</v>
      </c>
      <c r="I2" s="2">
        <v>18000</v>
      </c>
    </row>
    <row r="3" spans="1:9" x14ac:dyDescent="0.2">
      <c r="A3" s="3">
        <v>45996</v>
      </c>
      <c r="B3" s="2" t="s">
        <v>18</v>
      </c>
      <c r="C3" s="2" t="s">
        <v>19</v>
      </c>
      <c r="D3" s="2" t="s">
        <v>9</v>
      </c>
      <c r="E3" s="2" t="s">
        <v>20</v>
      </c>
      <c r="F3" s="2">
        <v>20</v>
      </c>
      <c r="G3" s="2">
        <v>7</v>
      </c>
      <c r="H3" s="2">
        <v>32000</v>
      </c>
      <c r="I3" s="2">
        <v>21000</v>
      </c>
    </row>
    <row r="4" spans="1:9" x14ac:dyDescent="0.2">
      <c r="A4" s="3">
        <v>46000</v>
      </c>
      <c r="B4" s="2" t="s">
        <v>21</v>
      </c>
      <c r="C4" s="2" t="s">
        <v>22</v>
      </c>
      <c r="D4" s="2" t="s">
        <v>13</v>
      </c>
      <c r="E4" s="2" t="s">
        <v>23</v>
      </c>
      <c r="F4" s="2">
        <v>18</v>
      </c>
      <c r="G4" s="2">
        <v>6</v>
      </c>
      <c r="H4" s="2">
        <v>28000</v>
      </c>
      <c r="I4" s="2">
        <v>19000</v>
      </c>
    </row>
    <row r="5" spans="1:9" x14ac:dyDescent="0.2">
      <c r="A5" s="3">
        <v>46005</v>
      </c>
      <c r="B5" s="2" t="s">
        <v>24</v>
      </c>
      <c r="C5" s="2" t="s">
        <v>17</v>
      </c>
      <c r="D5" s="2" t="s">
        <v>12</v>
      </c>
      <c r="E5" s="2" t="s">
        <v>25</v>
      </c>
      <c r="F5" s="2">
        <v>22</v>
      </c>
      <c r="G5" s="2">
        <v>8</v>
      </c>
      <c r="H5" s="2">
        <v>36000</v>
      </c>
      <c r="I5" s="2">
        <v>25000</v>
      </c>
    </row>
    <row r="6" spans="1:9" x14ac:dyDescent="0.2">
      <c r="A6" s="3">
        <v>46011</v>
      </c>
      <c r="B6" s="2" t="s">
        <v>26</v>
      </c>
      <c r="C6" s="2" t="s">
        <v>19</v>
      </c>
      <c r="D6" s="2" t="s">
        <v>11</v>
      </c>
      <c r="E6" s="2" t="s">
        <v>27</v>
      </c>
      <c r="F6" s="2">
        <v>16</v>
      </c>
      <c r="G6" s="2">
        <v>5</v>
      </c>
      <c r="H6" s="2">
        <v>24000</v>
      </c>
      <c r="I6" s="2">
        <v>17000</v>
      </c>
    </row>
    <row r="7" spans="1:9" x14ac:dyDescent="0.2">
      <c r="A7" s="3">
        <v>46025</v>
      </c>
      <c r="B7" s="2" t="s">
        <v>28</v>
      </c>
      <c r="C7" s="2" t="s">
        <v>22</v>
      </c>
      <c r="D7" s="2" t="s">
        <v>9</v>
      </c>
      <c r="E7" s="2" t="s">
        <v>29</v>
      </c>
      <c r="F7" s="2">
        <v>19</v>
      </c>
      <c r="G7" s="2">
        <v>6</v>
      </c>
      <c r="H7" s="2">
        <v>30000</v>
      </c>
      <c r="I7" s="2">
        <v>20000</v>
      </c>
    </row>
    <row r="8" spans="1:9" x14ac:dyDescent="0.2">
      <c r="A8" s="3">
        <v>46029</v>
      </c>
      <c r="B8" s="2" t="s">
        <v>30</v>
      </c>
      <c r="C8" s="2" t="s">
        <v>17</v>
      </c>
      <c r="D8" s="2" t="s">
        <v>13</v>
      </c>
      <c r="E8" s="2" t="s">
        <v>14</v>
      </c>
      <c r="F8" s="2">
        <v>25</v>
      </c>
      <c r="G8" s="2">
        <v>9</v>
      </c>
      <c r="H8" s="2">
        <v>42000</v>
      </c>
      <c r="I8" s="2">
        <v>29000</v>
      </c>
    </row>
    <row r="9" spans="1:9" x14ac:dyDescent="0.2">
      <c r="A9" s="3">
        <v>46034</v>
      </c>
      <c r="B9" s="2" t="s">
        <v>31</v>
      </c>
      <c r="C9" s="2" t="s">
        <v>19</v>
      </c>
      <c r="D9" s="2" t="s">
        <v>12</v>
      </c>
      <c r="E9" s="2" t="s">
        <v>32</v>
      </c>
      <c r="F9" s="2">
        <v>21</v>
      </c>
      <c r="G9" s="2">
        <v>7</v>
      </c>
      <c r="H9" s="2">
        <v>34000</v>
      </c>
      <c r="I9" s="2">
        <v>23000</v>
      </c>
    </row>
    <row r="10" spans="1:9" x14ac:dyDescent="0.2">
      <c r="A10" s="3">
        <v>46040</v>
      </c>
      <c r="B10" s="2" t="s">
        <v>33</v>
      </c>
      <c r="C10" s="2" t="s">
        <v>22</v>
      </c>
      <c r="D10" s="2" t="s">
        <v>11</v>
      </c>
      <c r="E10" s="2" t="s">
        <v>34</v>
      </c>
      <c r="F10" s="2">
        <v>17</v>
      </c>
      <c r="G10" s="2">
        <v>5</v>
      </c>
      <c r="H10" s="2">
        <v>26000</v>
      </c>
      <c r="I10" s="2">
        <v>18000</v>
      </c>
    </row>
    <row r="11" spans="1:9" x14ac:dyDescent="0.2">
      <c r="A11" s="3">
        <v>46047</v>
      </c>
      <c r="B11" s="2" t="s">
        <v>35</v>
      </c>
      <c r="C11" s="2" t="s">
        <v>17</v>
      </c>
      <c r="D11" s="2" t="s">
        <v>9</v>
      </c>
      <c r="E11" s="2" t="s">
        <v>36</v>
      </c>
      <c r="F11" s="2">
        <v>23</v>
      </c>
      <c r="G11" s="2">
        <v>8</v>
      </c>
      <c r="H11" s="2">
        <v>38000</v>
      </c>
      <c r="I11" s="2">
        <v>26000</v>
      </c>
    </row>
    <row r="12" spans="1:9" x14ac:dyDescent="0.2">
      <c r="A12" s="3">
        <v>46057</v>
      </c>
      <c r="B12" s="2" t="s">
        <v>37</v>
      </c>
      <c r="C12" s="2" t="s">
        <v>19</v>
      </c>
      <c r="D12" s="2" t="s">
        <v>13</v>
      </c>
      <c r="E12" s="2" t="s">
        <v>38</v>
      </c>
      <c r="F12" s="2">
        <v>26</v>
      </c>
      <c r="G12" s="2">
        <v>9</v>
      </c>
      <c r="H12" s="2">
        <v>45000</v>
      </c>
      <c r="I12" s="2">
        <v>31000</v>
      </c>
    </row>
    <row r="13" spans="1:9" x14ac:dyDescent="0.2">
      <c r="A13" s="3">
        <v>46061</v>
      </c>
      <c r="B13" s="2" t="s">
        <v>39</v>
      </c>
      <c r="C13" s="2" t="s">
        <v>22</v>
      </c>
      <c r="D13" s="2" t="s">
        <v>12</v>
      </c>
      <c r="E13" s="2" t="s">
        <v>40</v>
      </c>
      <c r="F13" s="2">
        <v>18</v>
      </c>
      <c r="G13" s="2">
        <v>6</v>
      </c>
      <c r="H13" s="2">
        <v>29000</v>
      </c>
      <c r="I13" s="2">
        <v>20000</v>
      </c>
    </row>
    <row r="14" spans="1:9" x14ac:dyDescent="0.2">
      <c r="A14" s="3">
        <v>46067</v>
      </c>
      <c r="B14" s="2" t="s">
        <v>41</v>
      </c>
      <c r="C14" s="2" t="s">
        <v>17</v>
      </c>
      <c r="D14" s="2" t="s">
        <v>11</v>
      </c>
      <c r="E14" s="2" t="s">
        <v>42</v>
      </c>
      <c r="F14" s="2">
        <v>24</v>
      </c>
      <c r="G14" s="2">
        <v>8</v>
      </c>
      <c r="H14" s="2">
        <v>40000</v>
      </c>
      <c r="I14" s="2">
        <v>27000</v>
      </c>
    </row>
    <row r="15" spans="1:9" x14ac:dyDescent="0.2">
      <c r="A15" s="3">
        <v>46072</v>
      </c>
      <c r="B15" s="2" t="s">
        <v>43</v>
      </c>
      <c r="C15" s="2" t="s">
        <v>19</v>
      </c>
      <c r="D15" s="2" t="s">
        <v>9</v>
      </c>
      <c r="E15" s="2" t="s">
        <v>44</v>
      </c>
      <c r="F15" s="2">
        <v>22</v>
      </c>
      <c r="G15" s="2">
        <v>7</v>
      </c>
      <c r="H15" s="2">
        <v>35000</v>
      </c>
      <c r="I15" s="2">
        <v>24000</v>
      </c>
    </row>
    <row r="16" spans="1:9" x14ac:dyDescent="0.2">
      <c r="A16" s="3">
        <v>46079</v>
      </c>
      <c r="B16" s="2" t="s">
        <v>45</v>
      </c>
      <c r="C16" s="2" t="s">
        <v>22</v>
      </c>
      <c r="D16" s="2" t="s">
        <v>13</v>
      </c>
      <c r="E16" s="2" t="s">
        <v>46</v>
      </c>
      <c r="F16" s="2">
        <v>20</v>
      </c>
      <c r="G16" s="2">
        <v>6</v>
      </c>
      <c r="H16" s="2">
        <v>31000</v>
      </c>
      <c r="I16" s="2">
        <v>21000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workbookViewId="0">
      <selection activeCell="F12" sqref="F12"/>
    </sheetView>
  </sheetViews>
  <sheetFormatPr defaultRowHeight="14.25" x14ac:dyDescent="0.2"/>
  <cols>
    <col min="1" max="1" width="9" bestFit="1" customWidth="1"/>
    <col min="2" max="2" width="14.375" bestFit="1" customWidth="1"/>
    <col min="3" max="3" width="16" bestFit="1" customWidth="1"/>
    <col min="4" max="4" width="11.25" bestFit="1" customWidth="1"/>
    <col min="5" max="5" width="19.125" bestFit="1" customWidth="1"/>
    <col min="6" max="6" width="10.25" bestFit="1" customWidth="1"/>
    <col min="7" max="7" width="11.125" bestFit="1" customWidth="1"/>
    <col min="8" max="8" width="13.125" bestFit="1" customWidth="1"/>
    <col min="9" max="9" width="12.75" bestFit="1" customWidth="1"/>
  </cols>
  <sheetData>
    <row r="1" spans="1:9" ht="15" x14ac:dyDescent="0.2">
      <c r="A1" s="1" t="s">
        <v>0</v>
      </c>
      <c r="B1" s="1" t="s">
        <v>1</v>
      </c>
      <c r="C1" s="1" t="s">
        <v>2</v>
      </c>
      <c r="D1" s="1" t="s">
        <v>3</v>
      </c>
      <c r="E1" s="1" t="s">
        <v>4</v>
      </c>
      <c r="F1" s="1" t="s">
        <v>5</v>
      </c>
      <c r="G1" s="1" t="s">
        <v>6</v>
      </c>
      <c r="H1" s="1" t="s">
        <v>7</v>
      </c>
      <c r="I1" s="1" t="s">
        <v>8</v>
      </c>
    </row>
    <row r="2" spans="1:9" x14ac:dyDescent="0.2">
      <c r="A2" s="3">
        <v>45993</v>
      </c>
      <c r="B2" s="2" t="s">
        <v>16</v>
      </c>
      <c r="C2" s="2" t="s">
        <v>17</v>
      </c>
      <c r="D2" s="2" t="s">
        <v>11</v>
      </c>
      <c r="E2" s="2" t="s">
        <v>10</v>
      </c>
      <c r="F2" s="2">
        <v>15</v>
      </c>
      <c r="G2" s="2">
        <v>5</v>
      </c>
      <c r="H2" s="5">
        <v>25000</v>
      </c>
      <c r="I2" s="5">
        <v>18000</v>
      </c>
    </row>
    <row r="3" spans="1:9" x14ac:dyDescent="0.2">
      <c r="A3" s="3">
        <v>45996</v>
      </c>
      <c r="B3" s="2" t="s">
        <v>18</v>
      </c>
      <c r="C3" s="2" t="s">
        <v>19</v>
      </c>
      <c r="D3" s="2" t="s">
        <v>9</v>
      </c>
      <c r="E3" s="2" t="s">
        <v>20</v>
      </c>
      <c r="F3" s="2">
        <v>20</v>
      </c>
      <c r="G3" s="2">
        <v>7</v>
      </c>
      <c r="H3" s="5">
        <v>32000</v>
      </c>
      <c r="I3" s="5">
        <v>21000</v>
      </c>
    </row>
    <row r="4" spans="1:9" x14ac:dyDescent="0.2">
      <c r="A4" s="3">
        <v>46000</v>
      </c>
      <c r="B4" s="2" t="s">
        <v>21</v>
      </c>
      <c r="C4" s="2" t="s">
        <v>22</v>
      </c>
      <c r="D4" s="2" t="s">
        <v>13</v>
      </c>
      <c r="E4" s="2" t="s">
        <v>23</v>
      </c>
      <c r="F4" s="2">
        <v>18</v>
      </c>
      <c r="G4" s="2">
        <v>6</v>
      </c>
      <c r="H4" s="5">
        <v>28000</v>
      </c>
      <c r="I4" s="5">
        <v>19000</v>
      </c>
    </row>
    <row r="5" spans="1:9" x14ac:dyDescent="0.2">
      <c r="A5" s="3">
        <v>46005</v>
      </c>
      <c r="B5" s="2" t="s">
        <v>24</v>
      </c>
      <c r="C5" s="2" t="s">
        <v>17</v>
      </c>
      <c r="D5" s="2" t="s">
        <v>12</v>
      </c>
      <c r="E5" s="2" t="s">
        <v>25</v>
      </c>
      <c r="F5" s="2">
        <v>22</v>
      </c>
      <c r="G5" s="2">
        <v>8</v>
      </c>
      <c r="H5" s="5">
        <v>36000</v>
      </c>
      <c r="I5" s="5">
        <v>25000</v>
      </c>
    </row>
    <row r="6" spans="1:9" x14ac:dyDescent="0.2">
      <c r="A6" s="3">
        <v>46011</v>
      </c>
      <c r="B6" s="2" t="s">
        <v>26</v>
      </c>
      <c r="C6" s="2" t="s">
        <v>19</v>
      </c>
      <c r="D6" s="2" t="s">
        <v>11</v>
      </c>
      <c r="E6" s="2" t="s">
        <v>27</v>
      </c>
      <c r="F6" s="2">
        <v>16</v>
      </c>
      <c r="G6" s="2">
        <v>5</v>
      </c>
      <c r="H6" s="5">
        <v>24000</v>
      </c>
      <c r="I6" s="5">
        <v>17000</v>
      </c>
    </row>
    <row r="7" spans="1:9" x14ac:dyDescent="0.2">
      <c r="A7" s="3">
        <v>46025</v>
      </c>
      <c r="B7" s="2" t="s">
        <v>28</v>
      </c>
      <c r="C7" s="2" t="s">
        <v>22</v>
      </c>
      <c r="D7" s="2" t="s">
        <v>9</v>
      </c>
      <c r="E7" s="2" t="s">
        <v>29</v>
      </c>
      <c r="F7" s="2">
        <v>19</v>
      </c>
      <c r="G7" s="2">
        <v>6</v>
      </c>
      <c r="H7" s="5">
        <v>30000</v>
      </c>
      <c r="I7" s="5">
        <v>20000</v>
      </c>
    </row>
    <row r="8" spans="1:9" x14ac:dyDescent="0.2">
      <c r="A8" s="3">
        <v>46029</v>
      </c>
      <c r="B8" s="2" t="s">
        <v>30</v>
      </c>
      <c r="C8" s="2" t="s">
        <v>17</v>
      </c>
      <c r="D8" s="2" t="s">
        <v>13</v>
      </c>
      <c r="E8" s="2" t="s">
        <v>14</v>
      </c>
      <c r="F8" s="2">
        <v>25</v>
      </c>
      <c r="G8" s="2">
        <v>9</v>
      </c>
      <c r="H8" s="5">
        <v>42000</v>
      </c>
      <c r="I8" s="5">
        <v>29000</v>
      </c>
    </row>
    <row r="9" spans="1:9" x14ac:dyDescent="0.2">
      <c r="A9" s="3">
        <v>46034</v>
      </c>
      <c r="B9" s="2" t="s">
        <v>31</v>
      </c>
      <c r="C9" s="2" t="s">
        <v>19</v>
      </c>
      <c r="D9" s="2" t="s">
        <v>12</v>
      </c>
      <c r="E9" s="2" t="s">
        <v>32</v>
      </c>
      <c r="F9" s="2">
        <v>21</v>
      </c>
      <c r="G9" s="2">
        <v>7</v>
      </c>
      <c r="H9" s="5">
        <v>34000</v>
      </c>
      <c r="I9" s="5">
        <v>23000</v>
      </c>
    </row>
    <row r="10" spans="1:9" x14ac:dyDescent="0.2">
      <c r="A10" s="3">
        <v>46040</v>
      </c>
      <c r="B10" s="2" t="s">
        <v>33</v>
      </c>
      <c r="C10" s="2" t="s">
        <v>22</v>
      </c>
      <c r="D10" s="2" t="s">
        <v>11</v>
      </c>
      <c r="E10" s="2" t="s">
        <v>34</v>
      </c>
      <c r="F10" s="2">
        <v>17</v>
      </c>
      <c r="G10" s="2">
        <v>5</v>
      </c>
      <c r="H10" s="5">
        <v>26000</v>
      </c>
      <c r="I10" s="5">
        <v>18000</v>
      </c>
    </row>
    <row r="11" spans="1:9" x14ac:dyDescent="0.2">
      <c r="A11" s="3">
        <v>46047</v>
      </c>
      <c r="B11" s="2" t="s">
        <v>35</v>
      </c>
      <c r="C11" s="2" t="s">
        <v>17</v>
      </c>
      <c r="D11" s="2" t="s">
        <v>9</v>
      </c>
      <c r="E11" s="2" t="s">
        <v>36</v>
      </c>
      <c r="F11" s="2">
        <v>23</v>
      </c>
      <c r="G11" s="2">
        <v>8</v>
      </c>
      <c r="H11" s="5">
        <v>38000</v>
      </c>
      <c r="I11" s="5">
        <v>26000</v>
      </c>
    </row>
    <row r="12" spans="1:9" x14ac:dyDescent="0.2">
      <c r="A12" s="3">
        <v>46057</v>
      </c>
      <c r="B12" s="2" t="s">
        <v>37</v>
      </c>
      <c r="C12" s="2" t="s">
        <v>19</v>
      </c>
      <c r="D12" s="2" t="s">
        <v>13</v>
      </c>
      <c r="E12" s="2" t="s">
        <v>38</v>
      </c>
      <c r="F12" s="2">
        <v>26</v>
      </c>
      <c r="G12" s="2">
        <v>9</v>
      </c>
      <c r="H12" s="5">
        <v>45000</v>
      </c>
      <c r="I12" s="5">
        <v>31000</v>
      </c>
    </row>
    <row r="13" spans="1:9" x14ac:dyDescent="0.2">
      <c r="A13" s="3">
        <v>46061</v>
      </c>
      <c r="B13" s="2" t="s">
        <v>39</v>
      </c>
      <c r="C13" s="2" t="s">
        <v>22</v>
      </c>
      <c r="D13" s="2" t="s">
        <v>12</v>
      </c>
      <c r="E13" s="2" t="s">
        <v>40</v>
      </c>
      <c r="F13" s="2">
        <v>18</v>
      </c>
      <c r="G13" s="2">
        <v>6</v>
      </c>
      <c r="H13" s="5">
        <v>29000</v>
      </c>
      <c r="I13" s="5">
        <v>20000</v>
      </c>
    </row>
    <row r="14" spans="1:9" x14ac:dyDescent="0.2">
      <c r="A14" s="3">
        <v>46067</v>
      </c>
      <c r="B14" s="2" t="s">
        <v>41</v>
      </c>
      <c r="C14" s="2" t="s">
        <v>17</v>
      </c>
      <c r="D14" s="2" t="s">
        <v>11</v>
      </c>
      <c r="E14" s="2" t="s">
        <v>42</v>
      </c>
      <c r="F14" s="2">
        <v>24</v>
      </c>
      <c r="G14" s="2">
        <v>8</v>
      </c>
      <c r="H14" s="5">
        <v>40000</v>
      </c>
      <c r="I14" s="5">
        <v>27000</v>
      </c>
    </row>
    <row r="15" spans="1:9" x14ac:dyDescent="0.2">
      <c r="A15" s="3">
        <v>46072</v>
      </c>
      <c r="B15" s="2" t="s">
        <v>43</v>
      </c>
      <c r="C15" s="2" t="s">
        <v>19</v>
      </c>
      <c r="D15" s="2" t="s">
        <v>9</v>
      </c>
      <c r="E15" s="2" t="s">
        <v>44</v>
      </c>
      <c r="F15" s="2">
        <v>22</v>
      </c>
      <c r="G15" s="2">
        <v>7</v>
      </c>
      <c r="H15" s="5">
        <v>35000</v>
      </c>
      <c r="I15" s="5">
        <v>24000</v>
      </c>
    </row>
    <row r="16" spans="1:9" x14ac:dyDescent="0.2">
      <c r="A16" s="3">
        <v>46079</v>
      </c>
      <c r="B16" s="2" t="s">
        <v>45</v>
      </c>
      <c r="C16" s="2" t="s">
        <v>22</v>
      </c>
      <c r="D16" s="2" t="s">
        <v>13</v>
      </c>
      <c r="E16" s="2" t="s">
        <v>46</v>
      </c>
      <c r="F16" s="2">
        <v>20</v>
      </c>
      <c r="G16" s="2">
        <v>6</v>
      </c>
      <c r="H16" s="5">
        <v>31000</v>
      </c>
      <c r="I16" s="5">
        <v>21000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
  <sheetViews>
    <sheetView tabSelected="1" workbookViewId="0">
      <selection activeCell="D2" sqref="D2"/>
    </sheetView>
  </sheetViews>
  <sheetFormatPr defaultRowHeight="14.25" x14ac:dyDescent="0.2"/>
  <cols>
    <col min="1" max="1" width="20" customWidth="1"/>
    <col min="2" max="2" width="17.125" customWidth="1"/>
  </cols>
  <sheetData>
    <row r="1" spans="1:2" ht="23.25" x14ac:dyDescent="0.35">
      <c r="A1" s="16" t="s">
        <v>67</v>
      </c>
      <c r="B1" s="16"/>
    </row>
    <row r="3" spans="1:2" ht="15.75" x14ac:dyDescent="0.25">
      <c r="A3" s="12" t="s">
        <v>47</v>
      </c>
      <c r="B3" s="12" t="s">
        <v>48</v>
      </c>
    </row>
    <row r="4" spans="1:2" x14ac:dyDescent="0.2">
      <c r="A4" s="9" t="s">
        <v>49</v>
      </c>
      <c r="B4" s="10">
        <f>SUM(Table2[Revenue])</f>
        <v>495000</v>
      </c>
    </row>
    <row r="5" spans="1:2" x14ac:dyDescent="0.2">
      <c r="A5" s="9" t="s">
        <v>50</v>
      </c>
      <c r="B5" s="9">
        <f>SUM(Table2[Orders])</f>
        <v>102</v>
      </c>
    </row>
    <row r="6" spans="1:2" x14ac:dyDescent="0.2">
      <c r="A6" s="9" t="s">
        <v>51</v>
      </c>
      <c r="B6" s="9">
        <f>SUM(Table2[Leads])</f>
        <v>306</v>
      </c>
    </row>
    <row r="7" spans="1:2" x14ac:dyDescent="0.2">
      <c r="A7" s="9" t="s">
        <v>52</v>
      </c>
      <c r="B7" s="11">
        <f>B5/B6</f>
        <v>0.33333333333333331</v>
      </c>
    </row>
    <row r="8" spans="1:2" x14ac:dyDescent="0.2">
      <c r="A8" s="9" t="s">
        <v>53</v>
      </c>
      <c r="B8" s="10">
        <f>B4/B5</f>
        <v>4852.9411764705883</v>
      </c>
    </row>
    <row r="9" spans="1:2" x14ac:dyDescent="0.2">
      <c r="A9" s="9" t="s">
        <v>54</v>
      </c>
      <c r="B9" s="10">
        <f>SUM(Table2[Cost])</f>
        <v>339000</v>
      </c>
    </row>
    <row r="10" spans="1:2" x14ac:dyDescent="0.2">
      <c r="A10" s="9" t="s">
        <v>55</v>
      </c>
      <c r="B10" s="10">
        <f>B4-B9</f>
        <v>156000</v>
      </c>
    </row>
    <row r="11" spans="1:2" x14ac:dyDescent="0.2">
      <c r="A11" s="9" t="s">
        <v>56</v>
      </c>
      <c r="B11" s="11">
        <f>B10/B4</f>
        <v>0.31515151515151513</v>
      </c>
    </row>
    <row r="12" spans="1:2" x14ac:dyDescent="0.2">
      <c r="A12" s="9" t="s">
        <v>57</v>
      </c>
      <c r="B12" s="11">
        <f>(180000-170000)/180000</f>
        <v>5.5555555555555552E-2</v>
      </c>
    </row>
    <row r="14" spans="1:2" ht="15.75" x14ac:dyDescent="0.25">
      <c r="A14" s="13" t="s">
        <v>61</v>
      </c>
    </row>
    <row r="15" spans="1:2" x14ac:dyDescent="0.2">
      <c r="A15" s="6" t="s">
        <v>64</v>
      </c>
      <c r="B15" t="s">
        <v>49</v>
      </c>
    </row>
    <row r="16" spans="1:2" x14ac:dyDescent="0.2">
      <c r="A16" s="7" t="s">
        <v>59</v>
      </c>
      <c r="B16" s="4">
        <v>170000</v>
      </c>
    </row>
    <row r="17" spans="1:2" x14ac:dyDescent="0.2">
      <c r="A17" s="7" t="s">
        <v>60</v>
      </c>
      <c r="B17" s="4">
        <v>180000</v>
      </c>
    </row>
    <row r="18" spans="1:2" x14ac:dyDescent="0.2">
      <c r="A18" s="7" t="s">
        <v>58</v>
      </c>
      <c r="B18" s="4">
        <v>145000</v>
      </c>
    </row>
    <row r="19" spans="1:2" x14ac:dyDescent="0.2">
      <c r="A19" s="7" t="s">
        <v>15</v>
      </c>
      <c r="B19" s="4">
        <v>495000</v>
      </c>
    </row>
    <row r="21" spans="1:2" ht="15.75" x14ac:dyDescent="0.25">
      <c r="A21" s="14" t="s">
        <v>62</v>
      </c>
    </row>
    <row r="22" spans="1:2" x14ac:dyDescent="0.2">
      <c r="A22" s="6" t="s">
        <v>63</v>
      </c>
      <c r="B22" t="s">
        <v>49</v>
      </c>
    </row>
    <row r="23" spans="1:2" x14ac:dyDescent="0.2">
      <c r="A23" s="8" t="s">
        <v>13</v>
      </c>
      <c r="B23" s="4">
        <v>146000</v>
      </c>
    </row>
    <row r="24" spans="1:2" x14ac:dyDescent="0.2">
      <c r="A24" s="8" t="s">
        <v>9</v>
      </c>
      <c r="B24" s="4">
        <v>135000</v>
      </c>
    </row>
    <row r="25" spans="1:2" x14ac:dyDescent="0.2">
      <c r="A25" s="8" t="s">
        <v>11</v>
      </c>
      <c r="B25" s="4">
        <v>115000</v>
      </c>
    </row>
    <row r="26" spans="1:2" x14ac:dyDescent="0.2">
      <c r="A26" s="8" t="s">
        <v>12</v>
      </c>
      <c r="B26" s="4">
        <v>99000</v>
      </c>
    </row>
    <row r="27" spans="1:2" x14ac:dyDescent="0.2">
      <c r="A27" s="8" t="s">
        <v>15</v>
      </c>
      <c r="B27" s="4">
        <v>495000</v>
      </c>
    </row>
    <row r="29" spans="1:2" ht="15.75" x14ac:dyDescent="0.25">
      <c r="A29" s="14" t="s">
        <v>65</v>
      </c>
      <c r="B29" s="15"/>
    </row>
    <row r="30" spans="1:2" x14ac:dyDescent="0.2">
      <c r="A30" s="6" t="s">
        <v>66</v>
      </c>
      <c r="B30" t="s">
        <v>49</v>
      </c>
    </row>
    <row r="31" spans="1:2" x14ac:dyDescent="0.2">
      <c r="A31" s="8" t="s">
        <v>17</v>
      </c>
      <c r="B31" s="4">
        <v>181000</v>
      </c>
    </row>
    <row r="32" spans="1:2" x14ac:dyDescent="0.2">
      <c r="A32" s="8" t="s">
        <v>19</v>
      </c>
      <c r="B32" s="4">
        <v>170000</v>
      </c>
    </row>
    <row r="33" spans="1:2" x14ac:dyDescent="0.2">
      <c r="A33" s="8" t="s">
        <v>22</v>
      </c>
      <c r="B33" s="4">
        <v>144000</v>
      </c>
    </row>
    <row r="34" spans="1:2" x14ac:dyDescent="0.2">
      <c r="A34" s="8" t="s">
        <v>15</v>
      </c>
      <c r="B34" s="4">
        <v>495000</v>
      </c>
    </row>
  </sheetData>
  <mergeCells count="1">
    <mergeCell ref="A1:B1"/>
  </mergeCells>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Sales Data</vt:lpstr>
      <vt:lpstr>KPI_Calculations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2026-02-23T12:38:35Z</dcterms:created>
  <dcterms:modified xsi:type="dcterms:W3CDTF">2026-02-23T13:38:46Z</dcterms:modified>
</cp:coreProperties>
</file>