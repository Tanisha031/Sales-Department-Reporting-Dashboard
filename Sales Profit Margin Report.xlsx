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Summary Report" sheetId="2" r:id="rId2"/>
  </sheets>
  <calcPr calcId="162913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7" i="2" s="1"/>
  <c r="B5" i="2"/>
  <c r="B4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<sst xmlns="http://schemas.openxmlformats.org/spreadsheetml/2006/main" count="70" uniqueCount="32">
  <si>
    <t>Date</t>
  </si>
  <si>
    <t>Salesperson</t>
  </si>
  <si>
    <t>Region</t>
  </si>
  <si>
    <t>Product</t>
  </si>
  <si>
    <t>Units Sold</t>
  </si>
  <si>
    <t>Sales Amount</t>
  </si>
  <si>
    <t>Cost Amount</t>
  </si>
  <si>
    <t>Ali</t>
  </si>
  <si>
    <t>North</t>
  </si>
  <si>
    <t>Laptop</t>
  </si>
  <si>
    <t>Sara</t>
  </si>
  <si>
    <t>South</t>
  </si>
  <si>
    <t>Printer</t>
  </si>
  <si>
    <t>Ahmed</t>
  </si>
  <si>
    <t>East</t>
  </si>
  <si>
    <t>Monitor</t>
  </si>
  <si>
    <t>Zoya</t>
  </si>
  <si>
    <t>West</t>
  </si>
  <si>
    <t>Keyboard</t>
  </si>
  <si>
    <t>Mouse</t>
  </si>
  <si>
    <t>Gross Profit</t>
  </si>
  <si>
    <t>Profit Margin %</t>
  </si>
  <si>
    <t>Total Sales</t>
  </si>
  <si>
    <t>Total Cost</t>
  </si>
  <si>
    <t>Total Gross Profit</t>
  </si>
  <si>
    <t>Overall Profit Margin</t>
  </si>
  <si>
    <t>Grand Total</t>
  </si>
  <si>
    <t>Highest Margin Region</t>
  </si>
  <si>
    <t>Profit Margin Report</t>
  </si>
  <si>
    <t>Regions</t>
  </si>
  <si>
    <t>Average Profit Margin %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</si>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</sst>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6" formatCode="_-[$Rs-420]\ * #,##0_-;\-[$Rs-420]\ * #,##0_-;_-[$Rs-420]\ * &quot;-&quot;??_-;_-@_-"/>
    <numFmt numFmtId="178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2" applyNumberFormat="1" applyFont="1" applyAlignment="1">
      <alignment vertical="center" wrapText="1"/>
    </xf>
    <xf numFmtId="178" fontId="0" fillId="0" borderId="0" xfId="1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0" borderId="1" xfId="0" applyBorder="1"/>
    <xf numFmtId="176" fontId="0" fillId="0" borderId="1" xfId="2" applyNumberFormat="1" applyFont="1" applyBorder="1"/>
    <xf numFmtId="9" fontId="0" fillId="0" borderId="1" xfId="2" applyFont="1" applyBorder="1"/>
    <xf numFmtId="0" fontId="3" fillId="2" borderId="0" xfId="0" applyFont="1" applyFill="1"/>
    <xf numFmtId="0" fontId="0" fillId="2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19">
    <dxf>
      <numFmt numFmtId="179" formatCode="0.000000"/>
    </dxf>
    <dxf>
      <numFmt numFmtId="180" formatCode="0.00000"/>
    </dxf>
    <dxf>
      <numFmt numFmtId="171" formatCode="0.0000"/>
    </dxf>
    <dxf>
      <numFmt numFmtId="172" formatCode="0.000"/>
    </dxf>
    <dxf>
      <numFmt numFmtId="2" formatCode="0.00"/>
    </dxf>
    <dxf>
      <numFmt numFmtId="173" formatCode="0.0"/>
    </dxf>
    <dxf>
      <numFmt numFmtId="1" formatCode="0"/>
    </dxf>
    <dxf>
      <numFmt numFmtId="13" formatCode="0%"/>
    </dxf>
    <dxf>
      <numFmt numFmtId="178" formatCode="_(&quot;$&quot;* #,##0_);_(&quot;$&quot;* \(#,##0\);_(&quot;$&quot;* &quot;-&quot;??_);_(@_)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78" formatCode="_(&quot;$&quot;* #,##0_);_(&quot;$&quot;* \(#,##0\);_(&quot;$&quot;* &quot;-&quot;??_);_(@_)"/>
      <alignment horizontal="general" vertical="center" textRotation="0" wrapText="1" indent="0" justifyLastLine="0" shrinkToFit="0" readingOrder="0"/>
    </dxf>
    <dxf>
      <numFmt numFmtId="178" formatCode="_(&quot;$&quot;* #,##0_);_(&quot;$&quot;* \(#,##0\);_(&quot;$&quot;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6.809134143521" createdVersion="6" refreshedVersion="6" minRefreshableVersion="3" recordCount="15">
  <cacheSource type="worksheet">
    <worksheetSource name="Table1"/>
  </cacheSource>
  <cacheFields count="9">
    <cacheField name="Date" numFmtId="14">
      <sharedItems containsSemiMixedTypes="0" containsNonDate="0" containsDate="1" containsString="0" minDate="2026-02-01T00:00:00" maxDate="2026-02-09T00:00:00"/>
    </cacheField>
    <cacheField name="Salesperson" numFmtId="0">
      <sharedItems count="4">
        <s v="Ali"/>
        <s v="Sara"/>
        <s v="Ahmed"/>
        <s v="Zoya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Units Sold" numFmtId="0">
      <sharedItems containsSemiMixedTypes="0" containsString="0" containsNumber="1" containsInteger="1" minValue="3" maxValue="30"/>
    </cacheField>
    <cacheField name="Sales Amount" numFmtId="178">
      <sharedItems containsSemiMixedTypes="0" containsString="0" containsNumber="1" containsInteger="1" minValue="30000" maxValue="250000"/>
    </cacheField>
    <cacheField name="Cost Amount" numFmtId="178">
      <sharedItems containsSemiMixedTypes="0" containsString="0" containsNumber="1" containsInteger="1" minValue="20000" maxValue="200000"/>
    </cacheField>
    <cacheField name="Gross Profit" numFmtId="178">
      <sharedItems containsSemiMixedTypes="0" containsString="0" containsNumber="1" containsInteger="1" minValue="10000" maxValue="50000"/>
    </cacheField>
    <cacheField name="Profit Margin %" numFmtId="10">
      <sharedItems containsSemiMixedTypes="0" containsString="0" containsNumber="1" minValue="20" maxValue="3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d v="2026-02-01T00:00:00"/>
    <x v="0"/>
    <x v="0"/>
    <s v="Laptop"/>
    <n v="5"/>
    <n v="250000"/>
    <n v="200000"/>
    <n v="50000"/>
    <n v="20"/>
  </r>
  <r>
    <d v="2026-02-01T00:00:00"/>
    <x v="1"/>
    <x v="1"/>
    <s v="Printer"/>
    <n v="8"/>
    <n v="80000"/>
    <n v="60000"/>
    <n v="20000"/>
    <n v="25"/>
  </r>
  <r>
    <d v="2026-02-02T00:00:00"/>
    <x v="2"/>
    <x v="2"/>
    <s v="Monitor"/>
    <n v="10"/>
    <n v="150000"/>
    <n v="110000"/>
    <n v="40000"/>
    <n v="26.666666666666668"/>
  </r>
  <r>
    <d v="2026-02-02T00:00:00"/>
    <x v="3"/>
    <x v="3"/>
    <s v="Keyboard"/>
    <n v="20"/>
    <n v="40000"/>
    <n v="25000"/>
    <n v="15000"/>
    <n v="37.5"/>
  </r>
  <r>
    <d v="2026-02-03T00:00:00"/>
    <x v="0"/>
    <x v="0"/>
    <s v="Mouse"/>
    <n v="30"/>
    <n v="45000"/>
    <n v="30000"/>
    <n v="15000"/>
    <n v="33.333333333333329"/>
  </r>
  <r>
    <d v="2026-02-03T00:00:00"/>
    <x v="1"/>
    <x v="1"/>
    <s v="Laptop"/>
    <n v="3"/>
    <n v="150000"/>
    <n v="120000"/>
    <n v="30000"/>
    <n v="20"/>
  </r>
  <r>
    <d v="2026-02-04T00:00:00"/>
    <x v="2"/>
    <x v="2"/>
    <s v="Printer"/>
    <n v="6"/>
    <n v="60000"/>
    <n v="45000"/>
    <n v="15000"/>
    <n v="25"/>
  </r>
  <r>
    <d v="2026-02-04T00:00:00"/>
    <x v="3"/>
    <x v="3"/>
    <s v="Monitor"/>
    <n v="7"/>
    <n v="105000"/>
    <n v="80000"/>
    <n v="25000"/>
    <n v="23.809523809523807"/>
  </r>
  <r>
    <d v="2026-02-05T00:00:00"/>
    <x v="0"/>
    <x v="0"/>
    <s v="Keyboard"/>
    <n v="15"/>
    <n v="30000"/>
    <n v="20000"/>
    <n v="10000"/>
    <n v="33.333333333333329"/>
  </r>
  <r>
    <d v="2026-02-05T00:00:00"/>
    <x v="1"/>
    <x v="1"/>
    <s v="Mouse"/>
    <n v="25"/>
    <n v="37500"/>
    <n v="26000"/>
    <n v="11500"/>
    <n v="30.666666666666664"/>
  </r>
  <r>
    <d v="2026-02-06T00:00:00"/>
    <x v="2"/>
    <x v="2"/>
    <s v="Laptop"/>
    <n v="4"/>
    <n v="200000"/>
    <n v="160000"/>
    <n v="40000"/>
    <n v="20"/>
  </r>
  <r>
    <d v="2026-02-06T00:00:00"/>
    <x v="3"/>
    <x v="3"/>
    <s v="Printer"/>
    <n v="9"/>
    <n v="90000"/>
    <n v="70000"/>
    <n v="20000"/>
    <n v="22.222222222222221"/>
  </r>
  <r>
    <d v="2026-02-07T00:00:00"/>
    <x v="0"/>
    <x v="0"/>
    <s v="Monitor"/>
    <n v="6"/>
    <n v="90000"/>
    <n v="70000"/>
    <n v="20000"/>
    <n v="22.222222222222221"/>
  </r>
  <r>
    <d v="2026-02-07T00:00:00"/>
    <x v="1"/>
    <x v="1"/>
    <s v="Keyboard"/>
    <n v="18"/>
    <n v="36000"/>
    <n v="25000"/>
    <n v="11000"/>
    <n v="30.555555555555557"/>
  </r>
  <r>
    <d v="2026-02-08T00:00:00"/>
    <x v="2"/>
    <x v="2"/>
    <s v="Mouse"/>
    <n v="22"/>
    <n v="33000"/>
    <n v="22000"/>
    <n v="11000"/>
    <n v="33.33333333333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s">
  <location ref="A10:D15" firstHeaderRow="0" firstDataRow="1" firstDataCol="1"/>
  <pivotFields count="9">
    <pivotField numFmtId="14" showAll="0"/>
    <pivotField showAll="0">
      <items count="5">
        <item x="2"/>
        <item x="0"/>
        <item x="1"/>
        <item x="3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78" showAll="0"/>
    <pivotField numFmtId="178" showAll="0"/>
    <pivotField dataField="1" numFmtId="178" showAll="0"/>
    <pivotField dataField="1" numFmtId="1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 Amount" fld="5" baseField="0" baseItem="0"/>
    <dataField name="Total Gross Profit" fld="7" baseField="0" baseItem="0"/>
    <dataField name="Average Profit Margin %" fld="8" subtotal="average" baseField="2" baseItem="1" numFmtId="9"/>
  </dataFields>
  <formats count="8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6" totalsRowShown="0" headerRowDxfId="13" dataDxfId="14">
  <autoFilter ref="A1:I16"/>
  <tableColumns count="9">
    <tableColumn id="1" name="Date" dataDxfId="18"/>
    <tableColumn id="2" name="Salesperson" dataDxfId="17"/>
    <tableColumn id="3" name="Region" dataDxfId="16"/>
    <tableColumn id="4" name="Product" dataDxfId="15"/>
    <tableColumn id="5" name="Units Sold" dataDxfId="12"/>
    <tableColumn id="6" name="Sales Amount" dataDxfId="11" dataCellStyle="Currency"/>
    <tableColumn id="7" name="Cost Amount" dataDxfId="10" dataCellStyle="Currency"/>
    <tableColumn id="8" name="Gross Profit" dataDxfId="8" dataCellStyle="Currency">
      <calculatedColumnFormula>Table1[[#This Row],[Sales Amount]]-Table1[[#This Row],[Cost Amount]]</calculatedColumnFormula>
    </tableColumn>
    <tableColumn id="9" name="Profit Margin %" dataDxfId="9" dataCellStyle="Percent">
      <calculatedColumnFormula>(H2/F2)*100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I16"/>
    </sheetView>
  </sheetViews>
  <sheetFormatPr defaultRowHeight="14.25" x14ac:dyDescent="0.2"/>
  <cols>
    <col min="2" max="2" width="16" bestFit="1" customWidth="1"/>
    <col min="3" max="3" width="11.25" bestFit="1" customWidth="1"/>
    <col min="4" max="4" width="11.875" bestFit="1" customWidth="1"/>
    <col min="5" max="5" width="14" bestFit="1" customWidth="1"/>
    <col min="6" max="6" width="17" bestFit="1" customWidth="1"/>
    <col min="7" max="7" width="16.125" bestFit="1" customWidth="1"/>
    <col min="8" max="8" width="15.625" bestFit="1" customWidth="1"/>
    <col min="9" max="9" width="18.62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</row>
    <row r="2" spans="1:9" x14ac:dyDescent="0.2">
      <c r="A2" s="2">
        <v>46054</v>
      </c>
      <c r="B2" s="3" t="s">
        <v>7</v>
      </c>
      <c r="C2" s="3" t="s">
        <v>8</v>
      </c>
      <c r="D2" s="3" t="s">
        <v>9</v>
      </c>
      <c r="E2" s="3">
        <v>5</v>
      </c>
      <c r="F2" s="5">
        <v>250000</v>
      </c>
      <c r="G2" s="5">
        <v>200000</v>
      </c>
      <c r="H2" s="5">
        <f>Table1[[#This Row],[Sales Amount]]-Table1[[#This Row],[Cost Amount]]</f>
        <v>50000</v>
      </c>
      <c r="I2" s="4">
        <f t="shared" ref="I2:I16" si="0">(H2/F2)*100</f>
        <v>20</v>
      </c>
    </row>
    <row r="3" spans="1:9" x14ac:dyDescent="0.2">
      <c r="A3" s="2">
        <v>46054</v>
      </c>
      <c r="B3" s="3" t="s">
        <v>10</v>
      </c>
      <c r="C3" s="3" t="s">
        <v>11</v>
      </c>
      <c r="D3" s="3" t="s">
        <v>12</v>
      </c>
      <c r="E3" s="3">
        <v>8</v>
      </c>
      <c r="F3" s="5">
        <v>80000</v>
      </c>
      <c r="G3" s="5">
        <v>60000</v>
      </c>
      <c r="H3" s="5">
        <f>Table1[[#This Row],[Sales Amount]]-Table1[[#This Row],[Cost Amount]]</f>
        <v>20000</v>
      </c>
      <c r="I3" s="4">
        <f t="shared" si="0"/>
        <v>25</v>
      </c>
    </row>
    <row r="4" spans="1:9" x14ac:dyDescent="0.2">
      <c r="A4" s="2">
        <v>46055</v>
      </c>
      <c r="B4" s="3" t="s">
        <v>13</v>
      </c>
      <c r="C4" s="3" t="s">
        <v>14</v>
      </c>
      <c r="D4" s="3" t="s">
        <v>15</v>
      </c>
      <c r="E4" s="3">
        <v>10</v>
      </c>
      <c r="F4" s="5">
        <v>150000</v>
      </c>
      <c r="G4" s="5">
        <v>110000</v>
      </c>
      <c r="H4" s="5">
        <f>Table1[[#This Row],[Sales Amount]]-Table1[[#This Row],[Cost Amount]]</f>
        <v>40000</v>
      </c>
      <c r="I4" s="4">
        <f t="shared" si="0"/>
        <v>26.666666666666668</v>
      </c>
    </row>
    <row r="5" spans="1:9" x14ac:dyDescent="0.2">
      <c r="A5" s="2">
        <v>46055</v>
      </c>
      <c r="B5" s="3" t="s">
        <v>16</v>
      </c>
      <c r="C5" s="3" t="s">
        <v>17</v>
      </c>
      <c r="D5" s="3" t="s">
        <v>18</v>
      </c>
      <c r="E5" s="3">
        <v>20</v>
      </c>
      <c r="F5" s="5">
        <v>40000</v>
      </c>
      <c r="G5" s="5">
        <v>25000</v>
      </c>
      <c r="H5" s="5">
        <f>Table1[[#This Row],[Sales Amount]]-Table1[[#This Row],[Cost Amount]]</f>
        <v>15000</v>
      </c>
      <c r="I5" s="4">
        <f t="shared" si="0"/>
        <v>37.5</v>
      </c>
    </row>
    <row r="6" spans="1:9" x14ac:dyDescent="0.2">
      <c r="A6" s="2">
        <v>46056</v>
      </c>
      <c r="B6" s="3" t="s">
        <v>7</v>
      </c>
      <c r="C6" s="3" t="s">
        <v>8</v>
      </c>
      <c r="D6" s="3" t="s">
        <v>19</v>
      </c>
      <c r="E6" s="3">
        <v>30</v>
      </c>
      <c r="F6" s="5">
        <v>45000</v>
      </c>
      <c r="G6" s="5">
        <v>30000</v>
      </c>
      <c r="H6" s="5">
        <f>Table1[[#This Row],[Sales Amount]]-Table1[[#This Row],[Cost Amount]]</f>
        <v>15000</v>
      </c>
      <c r="I6" s="4">
        <f t="shared" si="0"/>
        <v>33.333333333333329</v>
      </c>
    </row>
    <row r="7" spans="1:9" x14ac:dyDescent="0.2">
      <c r="A7" s="2">
        <v>46056</v>
      </c>
      <c r="B7" s="3" t="s">
        <v>10</v>
      </c>
      <c r="C7" s="3" t="s">
        <v>11</v>
      </c>
      <c r="D7" s="3" t="s">
        <v>9</v>
      </c>
      <c r="E7" s="3">
        <v>3</v>
      </c>
      <c r="F7" s="5">
        <v>150000</v>
      </c>
      <c r="G7" s="5">
        <v>120000</v>
      </c>
      <c r="H7" s="5">
        <f>Table1[[#This Row],[Sales Amount]]-Table1[[#This Row],[Cost Amount]]</f>
        <v>30000</v>
      </c>
      <c r="I7" s="4">
        <f t="shared" si="0"/>
        <v>20</v>
      </c>
    </row>
    <row r="8" spans="1:9" x14ac:dyDescent="0.2">
      <c r="A8" s="2">
        <v>46057</v>
      </c>
      <c r="B8" s="3" t="s">
        <v>13</v>
      </c>
      <c r="C8" s="3" t="s">
        <v>14</v>
      </c>
      <c r="D8" s="3" t="s">
        <v>12</v>
      </c>
      <c r="E8" s="3">
        <v>6</v>
      </c>
      <c r="F8" s="5">
        <v>60000</v>
      </c>
      <c r="G8" s="5">
        <v>45000</v>
      </c>
      <c r="H8" s="5">
        <f>Table1[[#This Row],[Sales Amount]]-Table1[[#This Row],[Cost Amount]]</f>
        <v>15000</v>
      </c>
      <c r="I8" s="4">
        <f t="shared" si="0"/>
        <v>25</v>
      </c>
    </row>
    <row r="9" spans="1:9" x14ac:dyDescent="0.2">
      <c r="A9" s="2">
        <v>46057</v>
      </c>
      <c r="B9" s="3" t="s">
        <v>16</v>
      </c>
      <c r="C9" s="3" t="s">
        <v>17</v>
      </c>
      <c r="D9" s="3" t="s">
        <v>15</v>
      </c>
      <c r="E9" s="3">
        <v>7</v>
      </c>
      <c r="F9" s="5">
        <v>105000</v>
      </c>
      <c r="G9" s="5">
        <v>80000</v>
      </c>
      <c r="H9" s="5">
        <f>Table1[[#This Row],[Sales Amount]]-Table1[[#This Row],[Cost Amount]]</f>
        <v>25000</v>
      </c>
      <c r="I9" s="4">
        <f t="shared" si="0"/>
        <v>23.809523809523807</v>
      </c>
    </row>
    <row r="10" spans="1:9" x14ac:dyDescent="0.2">
      <c r="A10" s="2">
        <v>46058</v>
      </c>
      <c r="B10" s="3" t="s">
        <v>7</v>
      </c>
      <c r="C10" s="3" t="s">
        <v>8</v>
      </c>
      <c r="D10" s="3" t="s">
        <v>18</v>
      </c>
      <c r="E10" s="3">
        <v>15</v>
      </c>
      <c r="F10" s="5">
        <v>30000</v>
      </c>
      <c r="G10" s="5">
        <v>20000</v>
      </c>
      <c r="H10" s="5">
        <f>Table1[[#This Row],[Sales Amount]]-Table1[[#This Row],[Cost Amount]]</f>
        <v>10000</v>
      </c>
      <c r="I10" s="4">
        <f t="shared" si="0"/>
        <v>33.333333333333329</v>
      </c>
    </row>
    <row r="11" spans="1:9" x14ac:dyDescent="0.2">
      <c r="A11" s="2">
        <v>46058</v>
      </c>
      <c r="B11" s="3" t="s">
        <v>10</v>
      </c>
      <c r="C11" s="3" t="s">
        <v>11</v>
      </c>
      <c r="D11" s="3" t="s">
        <v>19</v>
      </c>
      <c r="E11" s="3">
        <v>25</v>
      </c>
      <c r="F11" s="5">
        <v>37500</v>
      </c>
      <c r="G11" s="5">
        <v>26000</v>
      </c>
      <c r="H11" s="5">
        <f>Table1[[#This Row],[Sales Amount]]-Table1[[#This Row],[Cost Amount]]</f>
        <v>11500</v>
      </c>
      <c r="I11" s="4">
        <f t="shared" si="0"/>
        <v>30.666666666666664</v>
      </c>
    </row>
    <row r="12" spans="1:9" x14ac:dyDescent="0.2">
      <c r="A12" s="2">
        <v>46059</v>
      </c>
      <c r="B12" s="3" t="s">
        <v>13</v>
      </c>
      <c r="C12" s="3" t="s">
        <v>14</v>
      </c>
      <c r="D12" s="3" t="s">
        <v>9</v>
      </c>
      <c r="E12" s="3">
        <v>4</v>
      </c>
      <c r="F12" s="5">
        <v>200000</v>
      </c>
      <c r="G12" s="5">
        <v>160000</v>
      </c>
      <c r="H12" s="5">
        <f>Table1[[#This Row],[Sales Amount]]-Table1[[#This Row],[Cost Amount]]</f>
        <v>40000</v>
      </c>
      <c r="I12" s="4">
        <f t="shared" si="0"/>
        <v>20</v>
      </c>
    </row>
    <row r="13" spans="1:9" x14ac:dyDescent="0.2">
      <c r="A13" s="2">
        <v>46059</v>
      </c>
      <c r="B13" s="3" t="s">
        <v>16</v>
      </c>
      <c r="C13" s="3" t="s">
        <v>17</v>
      </c>
      <c r="D13" s="3" t="s">
        <v>12</v>
      </c>
      <c r="E13" s="3">
        <v>9</v>
      </c>
      <c r="F13" s="5">
        <v>90000</v>
      </c>
      <c r="G13" s="5">
        <v>70000</v>
      </c>
      <c r="H13" s="5">
        <f>Table1[[#This Row],[Sales Amount]]-Table1[[#This Row],[Cost Amount]]</f>
        <v>20000</v>
      </c>
      <c r="I13" s="4">
        <f t="shared" si="0"/>
        <v>22.222222222222221</v>
      </c>
    </row>
    <row r="14" spans="1:9" x14ac:dyDescent="0.2">
      <c r="A14" s="2">
        <v>46060</v>
      </c>
      <c r="B14" s="3" t="s">
        <v>7</v>
      </c>
      <c r="C14" s="3" t="s">
        <v>8</v>
      </c>
      <c r="D14" s="3" t="s">
        <v>15</v>
      </c>
      <c r="E14" s="3">
        <v>6</v>
      </c>
      <c r="F14" s="5">
        <v>90000</v>
      </c>
      <c r="G14" s="5">
        <v>70000</v>
      </c>
      <c r="H14" s="5">
        <f>Table1[[#This Row],[Sales Amount]]-Table1[[#This Row],[Cost Amount]]</f>
        <v>20000</v>
      </c>
      <c r="I14" s="4">
        <f t="shared" si="0"/>
        <v>22.222222222222221</v>
      </c>
    </row>
    <row r="15" spans="1:9" x14ac:dyDescent="0.2">
      <c r="A15" s="2">
        <v>46060</v>
      </c>
      <c r="B15" s="3" t="s">
        <v>10</v>
      </c>
      <c r="C15" s="3" t="s">
        <v>11</v>
      </c>
      <c r="D15" s="3" t="s">
        <v>18</v>
      </c>
      <c r="E15" s="3">
        <v>18</v>
      </c>
      <c r="F15" s="5">
        <v>36000</v>
      </c>
      <c r="G15" s="5">
        <v>25000</v>
      </c>
      <c r="H15" s="5">
        <f>Table1[[#This Row],[Sales Amount]]-Table1[[#This Row],[Cost Amount]]</f>
        <v>11000</v>
      </c>
      <c r="I15" s="4">
        <f t="shared" si="0"/>
        <v>30.555555555555557</v>
      </c>
    </row>
    <row r="16" spans="1:9" x14ac:dyDescent="0.2">
      <c r="A16" s="2">
        <v>46061</v>
      </c>
      <c r="B16" s="3" t="s">
        <v>13</v>
      </c>
      <c r="C16" s="3" t="s">
        <v>14</v>
      </c>
      <c r="D16" s="3" t="s">
        <v>19</v>
      </c>
      <c r="E16" s="3">
        <v>22</v>
      </c>
      <c r="F16" s="5">
        <v>33000</v>
      </c>
      <c r="G16" s="5">
        <v>22000</v>
      </c>
      <c r="H16" s="5">
        <f>Table1[[#This Row],[Sales Amount]]-Table1[[#This Row],[Cost Amount]]</f>
        <v>11000</v>
      </c>
      <c r="I16" s="4">
        <f t="shared" si="0"/>
        <v>33.333333333333329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tabSelected="1" workbookViewId="0">
      <selection activeCell="F11" sqref="F11"/>
    </sheetView>
  </sheetViews>
  <sheetFormatPr defaultRowHeight="14.25" x14ac:dyDescent="0.2"/>
  <cols>
    <col min="1" max="1" width="19.375" bestFit="1" customWidth="1"/>
    <col min="2" max="2" width="19.75" bestFit="1" customWidth="1"/>
    <col min="3" max="3" width="18.5" customWidth="1"/>
    <col min="4" max="4" width="25" customWidth="1"/>
    <col min="5" max="5" width="6.875" customWidth="1"/>
    <col min="6" max="6" width="18.5" bestFit="1" customWidth="1"/>
    <col min="7" max="9" width="5.875" customWidth="1"/>
    <col min="10" max="10" width="25" bestFit="1" customWidth="1"/>
    <col min="11" max="13" width="6.5" customWidth="1"/>
    <col min="14" max="14" width="24.875" bestFit="1" customWidth="1"/>
    <col min="15" max="15" width="23.625" bestFit="1" customWidth="1"/>
    <col min="16" max="16" width="30.25" bestFit="1" customWidth="1"/>
  </cols>
  <sheetData>
    <row r="1" spans="1:4" ht="20.25" x14ac:dyDescent="0.3">
      <c r="A1" s="13" t="s">
        <v>28</v>
      </c>
      <c r="B1" s="14"/>
    </row>
    <row r="4" spans="1:4" x14ac:dyDescent="0.2">
      <c r="A4" s="10" t="s">
        <v>22</v>
      </c>
      <c r="B4" s="11">
        <f>SUM(Table1[Sales Amount])</f>
        <v>1396500</v>
      </c>
    </row>
    <row r="5" spans="1:4" x14ac:dyDescent="0.2">
      <c r="A5" s="10" t="s">
        <v>23</v>
      </c>
      <c r="B5" s="11">
        <f>SUM(Table1[Cost Amount])</f>
        <v>1063000</v>
      </c>
    </row>
    <row r="6" spans="1:4" x14ac:dyDescent="0.2">
      <c r="A6" s="10" t="s">
        <v>24</v>
      </c>
      <c r="B6" s="11">
        <f>SUM(Table1[Gross Profit])</f>
        <v>333500</v>
      </c>
    </row>
    <row r="7" spans="1:4" x14ac:dyDescent="0.2">
      <c r="A7" s="10" t="s">
        <v>25</v>
      </c>
      <c r="B7" s="12">
        <f>(B6/B4)*100</f>
        <v>23.881131399928393</v>
      </c>
    </row>
    <row r="8" spans="1:4" x14ac:dyDescent="0.2">
      <c r="A8" s="10" t="s">
        <v>27</v>
      </c>
      <c r="B8" s="10" t="s">
        <v>14</v>
      </c>
    </row>
    <row r="10" spans="1:4" x14ac:dyDescent="0.2">
      <c r="A10" s="6" t="s">
        <v>29</v>
      </c>
      <c r="B10" t="s">
        <v>31</v>
      </c>
      <c r="C10" t="s">
        <v>24</v>
      </c>
      <c r="D10" t="s">
        <v>30</v>
      </c>
    </row>
    <row r="11" spans="1:4" x14ac:dyDescent="0.2">
      <c r="A11" s="7" t="s">
        <v>14</v>
      </c>
      <c r="B11" s="8">
        <v>443000</v>
      </c>
      <c r="C11" s="8">
        <v>106000</v>
      </c>
      <c r="D11" s="9">
        <v>26.25</v>
      </c>
    </row>
    <row r="12" spans="1:4" x14ac:dyDescent="0.2">
      <c r="A12" s="7" t="s">
        <v>8</v>
      </c>
      <c r="B12" s="8">
        <v>415000</v>
      </c>
      <c r="C12" s="8">
        <v>95000</v>
      </c>
      <c r="D12" s="9">
        <v>27.222222222222221</v>
      </c>
    </row>
    <row r="13" spans="1:4" x14ac:dyDescent="0.2">
      <c r="A13" s="7" t="s">
        <v>11</v>
      </c>
      <c r="B13" s="8">
        <v>303500</v>
      </c>
      <c r="C13" s="8">
        <v>72500</v>
      </c>
      <c r="D13" s="9">
        <v>26.555555555555554</v>
      </c>
    </row>
    <row r="14" spans="1:4" x14ac:dyDescent="0.2">
      <c r="A14" s="7" t="s">
        <v>17</v>
      </c>
      <c r="B14" s="8">
        <v>235000</v>
      </c>
      <c r="C14" s="8">
        <v>60000</v>
      </c>
      <c r="D14" s="9">
        <v>27.843915343915342</v>
      </c>
    </row>
    <row r="15" spans="1:4" x14ac:dyDescent="0.2">
      <c r="A15" s="7" t="s">
        <v>26</v>
      </c>
      <c r="B15" s="8">
        <v>1396500</v>
      </c>
      <c r="C15" s="8">
        <v>333500</v>
      </c>
      <c r="D15" s="9">
        <v>26.909523809523808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2026-02-23T14:13:07Z</dcterms:created>
  <dcterms:modified xsi:type="dcterms:W3CDTF">2026-02-23T14:31:38Z</dcterms:modified>
</cp:coreProperties>
</file>