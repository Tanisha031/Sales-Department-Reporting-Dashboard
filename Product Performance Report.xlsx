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2"/>
  </bookViews>
  <sheets>
    <sheet name="Data" sheetId="1" r:id="rId1"/>
    <sheet name="Product-Wise Summary" sheetId="2" r:id="rId2"/>
    <sheet name="Sheet1" sheetId="3" r:id="rId3"/>
  </sheets>
  <calcPr calcId="162913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B5" i="3"/>
  <c r="B4" i="3"/>
  <c r="C8" i="2" l="1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<sst xmlns="http://schemas.openxmlformats.org/spreadsheetml/2006/main" count="111" uniqueCount="53">
  <si>
    <t>Date</t>
  </si>
  <si>
    <t>Invoice No</t>
  </si>
  <si>
    <t>Product Name</t>
  </si>
  <si>
    <t>Category</t>
  </si>
  <si>
    <t>Salesperson</t>
  </si>
  <si>
    <t>Region</t>
  </si>
  <si>
    <t>Quantity</t>
  </si>
  <si>
    <t>Unit Price</t>
  </si>
  <si>
    <t>Total Amount</t>
  </si>
  <si>
    <t>INV001</t>
  </si>
  <si>
    <t>Laptop</t>
  </si>
  <si>
    <t>Electronics</t>
  </si>
  <si>
    <t>Aisha</t>
  </si>
  <si>
    <t>North</t>
  </si>
  <si>
    <t>INV002</t>
  </si>
  <si>
    <t>Mobile</t>
  </si>
  <si>
    <t>Rahim</t>
  </si>
  <si>
    <t>South</t>
  </si>
  <si>
    <t>INV003</t>
  </si>
  <si>
    <t>Tablet</t>
  </si>
  <si>
    <t>East</t>
  </si>
  <si>
    <t>INV004</t>
  </si>
  <si>
    <t>Printer</t>
  </si>
  <si>
    <t>Accessories</t>
  </si>
  <si>
    <t>Imran</t>
  </si>
  <si>
    <t>West</t>
  </si>
  <si>
    <t>INV005</t>
  </si>
  <si>
    <t>INV006</t>
  </si>
  <si>
    <t>INV007</t>
  </si>
  <si>
    <t>Mouse</t>
  </si>
  <si>
    <t>INV008</t>
  </si>
  <si>
    <t>Keyboard</t>
  </si>
  <si>
    <t>INV009</t>
  </si>
  <si>
    <t>INV010</t>
  </si>
  <si>
    <t>INV011</t>
  </si>
  <si>
    <t>INV012</t>
  </si>
  <si>
    <t>INV013</t>
  </si>
  <si>
    <t>INV014</t>
  </si>
  <si>
    <t>INV015</t>
  </si>
  <si>
    <t xml:space="preserve">Product Name </t>
  </si>
  <si>
    <t xml:space="preserve"> Total Quantity Sold </t>
  </si>
  <si>
    <t xml:space="preserve"> Total Sales </t>
  </si>
  <si>
    <t xml:space="preserve"> Avg Price </t>
  </si>
  <si>
    <t xml:space="preserve"> % Contribution </t>
  </si>
  <si>
    <t>Grand Total</t>
  </si>
  <si>
    <t>Total Quantity</t>
  </si>
  <si>
    <t>Total Sales</t>
  </si>
  <si>
    <t>Products</t>
  </si>
  <si>
    <t>Product - Wise Sales</t>
  </si>
  <si>
    <t>PRODUCT PERFORMANCE REPORT</t>
  </si>
  <si>
    <t>Month: Janurary 2026</t>
  </si>
  <si>
    <t>Total Qty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</si>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</sst>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[$Rs-420]\ * #,##0_-;\-[$Rs-420]\ * #,##0_-;_-[$Rs-420]\ * &quot;-&quot;??_-;_-@_-"/>
  </numFmts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2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164" fontId="3" fillId="0" borderId="0" xfId="1" applyNumberFormat="1" applyFont="1"/>
    <xf numFmtId="9" fontId="3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6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numFmt numFmtId="165" formatCode="_-[$Rs-420]\ * #,##0.00_-;\-[$Rs-420]\ * #,##0.00_-;_-[$Rs-420]\ * &quot;-&quot;??_-;_-@_-"/>
    </dxf>
    <dxf>
      <numFmt numFmtId="166" formatCode="_-[$Rs-420]\ * #,##0.0_-;\-[$Rs-420]\ * #,##0.0_-;_-[$Rs-420]\ * &quot;-&quot;??_-;_-@_-"/>
    </dxf>
    <dxf>
      <numFmt numFmtId="164" formatCode="_-[$Rs-420]\ * #,##0_-;\-[$Rs-420]\ * #,##0_-;_-[$Rs-420]\ * &quot;-&quot;??_-;_-@_-"/>
    </dxf>
    <dxf>
      <numFmt numFmtId="14" formatCode="0.00%"/>
    </dxf>
    <dxf>
      <numFmt numFmtId="165" formatCode="_-[$Rs-420]\ * #,##0.00_-;\-[$Rs-420]\ * #,##0.00_-;_-[$Rs-420]\ * &quot;-&quot;??_-;_-@_-"/>
    </dxf>
    <dxf>
      <numFmt numFmtId="166" formatCode="_-[$Rs-420]\ * #,##0.0_-;\-[$Rs-420]\ * #,##0.0_-;_-[$Rs-420]\ * &quot;-&quot;??_-;_-@_-"/>
    </dxf>
    <dxf>
      <numFmt numFmtId="164" formatCode="_-[$Rs-420]\ * #,##0_-;\-[$Rs-420]\ * #,##0_-;_-[$Rs-420]\ * &quot;-&quot;??_-;_-@_-"/>
    </dxf>
    <dxf>
      <numFmt numFmtId="14" formatCode="0.00%"/>
    </dxf>
    <dxf>
      <numFmt numFmtId="14" formatCode="0.00%"/>
    </dxf>
    <dxf>
      <numFmt numFmtId="164" formatCode="_-[$Rs-420]\ * #,##0_-;\-[$Rs-420]\ * #,##0_-;_-[$Rs-420]\ * &quot;-&quot;??_-;_-@_-"/>
    </dxf>
    <dxf>
      <numFmt numFmtId="166" formatCode="_-[$Rs-420]\ * #,##0.0_-;\-[$Rs-420]\ * #,##0.0_-;_-[$Rs-420]\ * &quot;-&quot;??_-;_-@_-"/>
    </dxf>
    <dxf>
      <numFmt numFmtId="165" formatCode="_-[$Rs-420]\ * #,##0.00_-;\-[$Rs-420]\ * #,##0.00_-;_-[$Rs-420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_-[$Rs-420]\ * #,##0_-;\-[$Rs-420]\ * #,##0_-;_-[$Rs-420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numFmt numFmtId="164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Products - Wise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r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r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Laptop</c:v>
              </c:pt>
              <c:pt idx="1">
                <c:v>Mobile</c:v>
              </c:pt>
              <c:pt idx="2">
                <c:v>Tablet</c:v>
              </c:pt>
              <c:pt idx="3">
                <c:v>Printer</c:v>
              </c:pt>
              <c:pt idx="4">
                <c:v>Keyboard</c:v>
              </c:pt>
              <c:pt idx="5">
                <c:v>Mouse</c:v>
              </c:pt>
            </c:strLit>
          </c:cat>
          <c:val>
            <c:numLit>
              <c:formatCode>General</c:formatCode>
              <c:ptCount val="6"/>
              <c:pt idx="0">
                <c:v>0.40497541220711597</c:v>
              </c:pt>
              <c:pt idx="1">
                <c:v>0.26612669945039052</c:v>
              </c:pt>
              <c:pt idx="2">
                <c:v>0.22562915822967891</c:v>
              </c:pt>
              <c:pt idx="3">
                <c:v>6.07463118310674E-2</c:v>
              </c:pt>
              <c:pt idx="4">
                <c:v>2.1695111368238356E-2</c:v>
              </c:pt>
              <c:pt idx="5">
                <c:v>2.0827306913508821E-2</c:v>
              </c:pt>
            </c:numLit>
          </c:val>
          <c:extLst>
            <c:ext xmlns:c16="http://schemas.microsoft.com/office/drawing/2014/chart" uri="{C3380CC4-5D6E-409C-BE32-E72D297353CC}">
              <c16:uniqueId val="{00000000-D49B-4932-BDE0-09E820A8E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4616991"/>
        <c:axId val="664611167"/>
      </c:barChart>
      <c:catAx>
        <c:axId val="66461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r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664611167"/>
        <c:crosses val="autoZero"/>
        <c:auto val="1"/>
        <c:lblAlgn val="ctr"/>
        <c:lblOffset val="100"/>
        <c:noMultiLvlLbl val="0"/>
      </c:catAx>
      <c:valAx>
        <c:axId val="66461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r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66461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</xdr:colOff>
      <xdr:row>6</xdr:row>
      <xdr:rowOff>42862</xdr:rowOff>
    </xdr:from>
    <xdr:to>
      <xdr:col>9</xdr:col>
      <xdr:colOff>557212</xdr:colOff>
      <xdr:row>21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7.714458333336" createdVersion="6" refreshedVersion="6" minRefreshableVersion="3" recordCount="15">
  <cacheSource type="worksheet">
    <worksheetSource name="Table1"/>
  </cacheSource>
  <cacheFields count="9">
    <cacheField name="Date" numFmtId="14">
      <sharedItems containsSemiMixedTypes="0" containsNonDate="0" containsDate="1" containsString="0" minDate="2026-01-01T00:00:00" maxDate="2026-01-16T00:00:00"/>
    </cacheField>
    <cacheField name="Invoice No" numFmtId="0">
      <sharedItems/>
    </cacheField>
    <cacheField name="Product Name" numFmtId="0">
      <sharedItems count="6">
        <s v="Laptop"/>
        <s v="Mobile"/>
        <s v="Tablet"/>
        <s v="Printer"/>
        <s v="Mouse"/>
        <s v="Keyboard"/>
      </sharedItems>
    </cacheField>
    <cacheField name="Category" numFmtId="0">
      <sharedItems/>
    </cacheField>
    <cacheField name="Salesperson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2" maxValue="25"/>
    </cacheField>
    <cacheField name="Unit Price" numFmtId="164">
      <sharedItems containsSemiMixedTypes="0" containsString="0" containsNumber="1" containsInteger="1" minValue="800" maxValue="50000"/>
    </cacheField>
    <cacheField name="Total Amount" numFmtId="164">
      <sharedItems containsSemiMixedTypes="0" containsString="0" containsNumber="1" containsInteger="1" minValue="15000" maxValue="25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d v="2026-01-01T00:00:00"/>
    <s v="INV001"/>
    <x v="0"/>
    <s v="Electronics"/>
    <s v="Aisha"/>
    <s v="North"/>
    <n v="5"/>
    <n v="50000"/>
    <n v="250000"/>
  </r>
  <r>
    <d v="2026-01-02T00:00:00"/>
    <s v="INV002"/>
    <x v="1"/>
    <s v="Electronics"/>
    <s v="Rahim"/>
    <s v="South"/>
    <n v="10"/>
    <n v="20000"/>
    <n v="200000"/>
  </r>
  <r>
    <d v="2026-01-03T00:00:00"/>
    <s v="INV003"/>
    <x v="2"/>
    <s v="Electronics"/>
    <s v="Aisha"/>
    <s v="East"/>
    <n v="7"/>
    <n v="30000"/>
    <n v="210000"/>
  </r>
  <r>
    <d v="2026-01-04T00:00:00"/>
    <s v="INV004"/>
    <x v="3"/>
    <s v="Accessories"/>
    <s v="Imran"/>
    <s v="West"/>
    <n v="4"/>
    <n v="15000"/>
    <n v="60000"/>
  </r>
  <r>
    <d v="2026-01-05T00:00:00"/>
    <s v="INV005"/>
    <x v="0"/>
    <s v="Electronics"/>
    <s v="Rahim"/>
    <s v="North"/>
    <n v="3"/>
    <n v="50000"/>
    <n v="150000"/>
  </r>
  <r>
    <d v="2026-01-06T00:00:00"/>
    <s v="INV006"/>
    <x v="1"/>
    <s v="Electronics"/>
    <s v="Aisha"/>
    <s v="South"/>
    <n v="8"/>
    <n v="20000"/>
    <n v="160000"/>
  </r>
  <r>
    <d v="2026-01-07T00:00:00"/>
    <s v="INV007"/>
    <x v="4"/>
    <s v="Accessories"/>
    <s v="Imran"/>
    <s v="East"/>
    <n v="20"/>
    <n v="800"/>
    <n v="16000"/>
  </r>
  <r>
    <d v="2026-01-08T00:00:00"/>
    <s v="INV008"/>
    <x v="5"/>
    <s v="Accessories"/>
    <s v="Rahim"/>
    <s v="West"/>
    <n v="15"/>
    <n v="1500"/>
    <n v="22500"/>
  </r>
  <r>
    <d v="2026-01-09T00:00:00"/>
    <s v="INV009"/>
    <x v="0"/>
    <s v="Electronics"/>
    <s v="Imran"/>
    <s v="South"/>
    <n v="2"/>
    <n v="50000"/>
    <n v="100000"/>
  </r>
  <r>
    <d v="2026-01-10T00:00:00"/>
    <s v="INV010"/>
    <x v="2"/>
    <s v="Electronics"/>
    <s v="Aisha"/>
    <s v="North"/>
    <n v="6"/>
    <n v="30000"/>
    <n v="180000"/>
  </r>
  <r>
    <d v="2026-01-11T00:00:00"/>
    <s v="INV011"/>
    <x v="1"/>
    <s v="Electronics"/>
    <s v="Rahim"/>
    <s v="East"/>
    <n v="5"/>
    <n v="20000"/>
    <n v="100000"/>
  </r>
  <r>
    <d v="2026-01-12T00:00:00"/>
    <s v="INV012"/>
    <x v="3"/>
    <s v="Accessories"/>
    <s v="Imran"/>
    <s v="North"/>
    <n v="3"/>
    <n v="15000"/>
    <n v="45000"/>
  </r>
  <r>
    <d v="2026-01-13T00:00:00"/>
    <s v="INV013"/>
    <x v="4"/>
    <s v="Accessories"/>
    <s v="Aisha"/>
    <s v="West"/>
    <n v="25"/>
    <n v="800"/>
    <n v="20000"/>
  </r>
  <r>
    <d v="2026-01-14T00:00:00"/>
    <s v="INV014"/>
    <x v="5"/>
    <s v="Accessories"/>
    <s v="Rahim"/>
    <s v="South"/>
    <n v="10"/>
    <n v="1500"/>
    <n v="15000"/>
  </r>
  <r>
    <d v="2026-01-15T00:00:00"/>
    <s v="INV015"/>
    <x v="0"/>
    <s v="Electronics"/>
    <s v="Aisha"/>
    <s v="East"/>
    <n v="4"/>
    <n v="50000"/>
    <n v="2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Products">
  <location ref="A11:C18" firstHeaderRow="0" firstDataRow="1" firstDataCol="1"/>
  <pivotFields count="9">
    <pivotField numFmtId="14" showAll="0"/>
    <pivotField showAll="0"/>
    <pivotField axis="axisRow" showAll="0" sortType="descending">
      <items count="7">
        <item x="5"/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numFmtId="164" showAll="0"/>
    <pivotField dataField="1" numFmtId="164" showAll="0"/>
  </pivotFields>
  <rowFields count="1">
    <field x="2"/>
  </rowFields>
  <rowItems count="7">
    <i>
      <x v="1"/>
    </i>
    <i>
      <x v="2"/>
    </i>
    <i>
      <x v="5"/>
    </i>
    <i>
      <x v="4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6" baseField="0" baseItem="0"/>
    <dataField name="Total Sales" fld="8" showDataAs="percentOfTotal" baseField="0" baseItem="0" numFmtId="10"/>
  </dataFields>
  <formats count="4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6" totalsRowShown="0" headerRowDxfId="29" dataDxfId="28">
  <autoFilter ref="A1:I16"/>
  <tableColumns count="9">
    <tableColumn id="1" name="Date" dataDxfId="27"/>
    <tableColumn id="2" name="Invoice No" dataDxfId="26"/>
    <tableColumn id="3" name="Product Name" dataDxfId="25"/>
    <tableColumn id="4" name="Category" dataDxfId="24"/>
    <tableColumn id="5" name="Salesperson" dataDxfId="23"/>
    <tableColumn id="6" name="Region" dataDxfId="22"/>
    <tableColumn id="7" name="Quantity" dataDxfId="21"/>
    <tableColumn id="8" name="Unit Price" dataDxfId="20"/>
    <tableColumn id="9" name="Total Amount" dataDxfId="19">
      <calculatedColumnFormula>G2*H2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8" totalsRowCount="1">
  <autoFilter ref="A1:E7"/>
  <tableColumns count="5">
    <tableColumn id="1" name="Product Name "/>
    <tableColumn id="2" name=" Total Quantity Sold ">
      <calculatedColumnFormula>SUMIFS(Table1[Quantity],Table1[Product Name],'Product-Wise Summary'!A2)</calculatedColumnFormula>
    </tableColumn>
    <tableColumn id="3" name=" Total Sales " totalsRowFunction="custom" dataDxfId="18" totalsRowDxfId="17" dataCellStyle="Currency">
      <calculatedColumnFormula>SUMIFS(Table1[Total Amount],Table1[Product Name],'Product-Wise Summary'!A2)</calculatedColumnFormula>
      <totalsRowFormula>SUM(C2:C7)</totalsRowFormula>
    </tableColumn>
    <tableColumn id="4" name=" Avg Price " dataDxfId="16" totalsRowDxfId="15">
      <calculatedColumnFormula>AVERAGEIFS(Table1[Unit Price],Table1[Product Name],'Product-Wise Summary'!A2)</calculatedColumnFormula>
    </tableColumn>
    <tableColumn id="5" name=" % Contribution " dataDxfId="14" totalsRowDxfId="13" dataCellStyle="Percent">
      <calculatedColumnFormula>C2/$C$8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sqref="A1:I16"/>
    </sheetView>
  </sheetViews>
  <sheetFormatPr defaultRowHeight="14.25" x14ac:dyDescent="0.2"/>
  <cols>
    <col min="2" max="2" width="14.375" bestFit="1" customWidth="1"/>
    <col min="3" max="3" width="17.5" bestFit="1" customWidth="1"/>
    <col min="4" max="4" width="12.875" bestFit="1" customWidth="1"/>
    <col min="5" max="5" width="16" bestFit="1" customWidth="1"/>
    <col min="6" max="6" width="11.25" bestFit="1" customWidth="1"/>
    <col min="7" max="7" width="12.25" bestFit="1" customWidth="1"/>
    <col min="8" max="8" width="13.625" bestFit="1" customWidth="1"/>
    <col min="9" max="9" width="16.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46023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5</v>
      </c>
      <c r="H2" s="4">
        <v>50000</v>
      </c>
      <c r="I2" s="4">
        <f>G2*H2</f>
        <v>250000</v>
      </c>
    </row>
    <row r="3" spans="1:9" x14ac:dyDescent="0.2">
      <c r="A3" s="2">
        <v>46024</v>
      </c>
      <c r="B3" s="3" t="s">
        <v>14</v>
      </c>
      <c r="C3" s="3" t="s">
        <v>15</v>
      </c>
      <c r="D3" s="3" t="s">
        <v>11</v>
      </c>
      <c r="E3" s="3" t="s">
        <v>16</v>
      </c>
      <c r="F3" s="3" t="s">
        <v>17</v>
      </c>
      <c r="G3" s="3">
        <v>10</v>
      </c>
      <c r="H3" s="4">
        <v>20000</v>
      </c>
      <c r="I3" s="4">
        <f t="shared" ref="I3:I16" si="0">G3*H3</f>
        <v>200000</v>
      </c>
    </row>
    <row r="4" spans="1:9" x14ac:dyDescent="0.2">
      <c r="A4" s="2">
        <v>46025</v>
      </c>
      <c r="B4" s="3" t="s">
        <v>18</v>
      </c>
      <c r="C4" s="3" t="s">
        <v>19</v>
      </c>
      <c r="D4" s="3" t="s">
        <v>11</v>
      </c>
      <c r="E4" s="3" t="s">
        <v>12</v>
      </c>
      <c r="F4" s="3" t="s">
        <v>20</v>
      </c>
      <c r="G4" s="3">
        <v>7</v>
      </c>
      <c r="H4" s="4">
        <v>30000</v>
      </c>
      <c r="I4" s="4">
        <f t="shared" si="0"/>
        <v>210000</v>
      </c>
    </row>
    <row r="5" spans="1:9" x14ac:dyDescent="0.2">
      <c r="A5" s="2">
        <v>46026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>
        <v>4</v>
      </c>
      <c r="H5" s="4">
        <v>15000</v>
      </c>
      <c r="I5" s="4">
        <f t="shared" si="0"/>
        <v>60000</v>
      </c>
    </row>
    <row r="6" spans="1:9" x14ac:dyDescent="0.2">
      <c r="A6" s="2">
        <v>46027</v>
      </c>
      <c r="B6" s="3" t="s">
        <v>26</v>
      </c>
      <c r="C6" s="3" t="s">
        <v>10</v>
      </c>
      <c r="D6" s="3" t="s">
        <v>11</v>
      </c>
      <c r="E6" s="3" t="s">
        <v>16</v>
      </c>
      <c r="F6" s="3" t="s">
        <v>13</v>
      </c>
      <c r="G6" s="3">
        <v>3</v>
      </c>
      <c r="H6" s="4">
        <v>50000</v>
      </c>
      <c r="I6" s="4">
        <f t="shared" si="0"/>
        <v>150000</v>
      </c>
    </row>
    <row r="7" spans="1:9" x14ac:dyDescent="0.2">
      <c r="A7" s="2">
        <v>46028</v>
      </c>
      <c r="B7" s="3" t="s">
        <v>27</v>
      </c>
      <c r="C7" s="3" t="s">
        <v>15</v>
      </c>
      <c r="D7" s="3" t="s">
        <v>11</v>
      </c>
      <c r="E7" s="3" t="s">
        <v>12</v>
      </c>
      <c r="F7" s="3" t="s">
        <v>17</v>
      </c>
      <c r="G7" s="3">
        <v>8</v>
      </c>
      <c r="H7" s="4">
        <v>20000</v>
      </c>
      <c r="I7" s="4">
        <f t="shared" si="0"/>
        <v>160000</v>
      </c>
    </row>
    <row r="8" spans="1:9" x14ac:dyDescent="0.2">
      <c r="A8" s="2">
        <v>46029</v>
      </c>
      <c r="B8" s="3" t="s">
        <v>28</v>
      </c>
      <c r="C8" s="3" t="s">
        <v>29</v>
      </c>
      <c r="D8" s="3" t="s">
        <v>23</v>
      </c>
      <c r="E8" s="3" t="s">
        <v>24</v>
      </c>
      <c r="F8" s="3" t="s">
        <v>20</v>
      </c>
      <c r="G8" s="3">
        <v>20</v>
      </c>
      <c r="H8" s="4">
        <v>800</v>
      </c>
      <c r="I8" s="4">
        <f t="shared" si="0"/>
        <v>16000</v>
      </c>
    </row>
    <row r="9" spans="1:9" x14ac:dyDescent="0.2">
      <c r="A9" s="2">
        <v>46030</v>
      </c>
      <c r="B9" s="3" t="s">
        <v>30</v>
      </c>
      <c r="C9" s="3" t="s">
        <v>31</v>
      </c>
      <c r="D9" s="3" t="s">
        <v>23</v>
      </c>
      <c r="E9" s="3" t="s">
        <v>16</v>
      </c>
      <c r="F9" s="3" t="s">
        <v>25</v>
      </c>
      <c r="G9" s="3">
        <v>15</v>
      </c>
      <c r="H9" s="4">
        <v>1500</v>
      </c>
      <c r="I9" s="4">
        <f t="shared" si="0"/>
        <v>22500</v>
      </c>
    </row>
    <row r="10" spans="1:9" x14ac:dyDescent="0.2">
      <c r="A10" s="2">
        <v>46031</v>
      </c>
      <c r="B10" s="3" t="s">
        <v>32</v>
      </c>
      <c r="C10" s="3" t="s">
        <v>10</v>
      </c>
      <c r="D10" s="3" t="s">
        <v>11</v>
      </c>
      <c r="E10" s="3" t="s">
        <v>24</v>
      </c>
      <c r="F10" s="3" t="s">
        <v>17</v>
      </c>
      <c r="G10" s="3">
        <v>2</v>
      </c>
      <c r="H10" s="4">
        <v>50000</v>
      </c>
      <c r="I10" s="4">
        <f t="shared" si="0"/>
        <v>100000</v>
      </c>
    </row>
    <row r="11" spans="1:9" x14ac:dyDescent="0.2">
      <c r="A11" s="2">
        <v>46032</v>
      </c>
      <c r="B11" s="3" t="s">
        <v>33</v>
      </c>
      <c r="C11" s="3" t="s">
        <v>19</v>
      </c>
      <c r="D11" s="3" t="s">
        <v>11</v>
      </c>
      <c r="E11" s="3" t="s">
        <v>12</v>
      </c>
      <c r="F11" s="3" t="s">
        <v>13</v>
      </c>
      <c r="G11" s="3">
        <v>6</v>
      </c>
      <c r="H11" s="4">
        <v>30000</v>
      </c>
      <c r="I11" s="4">
        <f t="shared" si="0"/>
        <v>180000</v>
      </c>
    </row>
    <row r="12" spans="1:9" x14ac:dyDescent="0.2">
      <c r="A12" s="2">
        <v>46033</v>
      </c>
      <c r="B12" s="3" t="s">
        <v>34</v>
      </c>
      <c r="C12" s="3" t="s">
        <v>15</v>
      </c>
      <c r="D12" s="3" t="s">
        <v>11</v>
      </c>
      <c r="E12" s="3" t="s">
        <v>16</v>
      </c>
      <c r="F12" s="3" t="s">
        <v>20</v>
      </c>
      <c r="G12" s="3">
        <v>5</v>
      </c>
      <c r="H12" s="4">
        <v>20000</v>
      </c>
      <c r="I12" s="4">
        <f t="shared" si="0"/>
        <v>100000</v>
      </c>
    </row>
    <row r="13" spans="1:9" x14ac:dyDescent="0.2">
      <c r="A13" s="2">
        <v>46034</v>
      </c>
      <c r="B13" s="3" t="s">
        <v>35</v>
      </c>
      <c r="C13" s="3" t="s">
        <v>22</v>
      </c>
      <c r="D13" s="3" t="s">
        <v>23</v>
      </c>
      <c r="E13" s="3" t="s">
        <v>24</v>
      </c>
      <c r="F13" s="3" t="s">
        <v>13</v>
      </c>
      <c r="G13" s="3">
        <v>3</v>
      </c>
      <c r="H13" s="4">
        <v>15000</v>
      </c>
      <c r="I13" s="4">
        <f t="shared" si="0"/>
        <v>45000</v>
      </c>
    </row>
    <row r="14" spans="1:9" x14ac:dyDescent="0.2">
      <c r="A14" s="2">
        <v>46035</v>
      </c>
      <c r="B14" s="3" t="s">
        <v>36</v>
      </c>
      <c r="C14" s="3" t="s">
        <v>29</v>
      </c>
      <c r="D14" s="3" t="s">
        <v>23</v>
      </c>
      <c r="E14" s="3" t="s">
        <v>12</v>
      </c>
      <c r="F14" s="3" t="s">
        <v>25</v>
      </c>
      <c r="G14" s="3">
        <v>25</v>
      </c>
      <c r="H14" s="4">
        <v>800</v>
      </c>
      <c r="I14" s="4">
        <f t="shared" si="0"/>
        <v>20000</v>
      </c>
    </row>
    <row r="15" spans="1:9" x14ac:dyDescent="0.2">
      <c r="A15" s="2">
        <v>46036</v>
      </c>
      <c r="B15" s="3" t="s">
        <v>37</v>
      </c>
      <c r="C15" s="3" t="s">
        <v>31</v>
      </c>
      <c r="D15" s="3" t="s">
        <v>23</v>
      </c>
      <c r="E15" s="3" t="s">
        <v>16</v>
      </c>
      <c r="F15" s="3" t="s">
        <v>17</v>
      </c>
      <c r="G15" s="3">
        <v>10</v>
      </c>
      <c r="H15" s="4">
        <v>1500</v>
      </c>
      <c r="I15" s="4">
        <f t="shared" si="0"/>
        <v>15000</v>
      </c>
    </row>
    <row r="16" spans="1:9" x14ac:dyDescent="0.2">
      <c r="A16" s="2">
        <v>46037</v>
      </c>
      <c r="B16" s="3" t="s">
        <v>38</v>
      </c>
      <c r="C16" s="3" t="s">
        <v>10</v>
      </c>
      <c r="D16" s="3" t="s">
        <v>11</v>
      </c>
      <c r="E16" s="3" t="s">
        <v>12</v>
      </c>
      <c r="F16" s="3" t="s">
        <v>20</v>
      </c>
      <c r="G16" s="3">
        <v>4</v>
      </c>
      <c r="H16" s="4">
        <v>50000</v>
      </c>
      <c r="I16" s="4">
        <f t="shared" si="0"/>
        <v>200000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14" sqref="H14"/>
    </sheetView>
  </sheetViews>
  <sheetFormatPr defaultRowHeight="14.25" x14ac:dyDescent="0.2"/>
  <cols>
    <col min="1" max="1" width="16" bestFit="1" customWidth="1"/>
    <col min="2" max="2" width="21" bestFit="1" customWidth="1"/>
    <col min="3" max="3" width="13.75" bestFit="1" customWidth="1"/>
    <col min="4" max="4" width="12.375" bestFit="1" customWidth="1"/>
    <col min="5" max="5" width="17.25" bestFit="1" customWidth="1"/>
  </cols>
  <sheetData>
    <row r="1" spans="1:5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">
      <c r="A2" t="s">
        <v>10</v>
      </c>
      <c r="B2">
        <f>SUMIFS(Table1[Quantity],Table1[Product Name],'Product-Wise Summary'!A2)</f>
        <v>14</v>
      </c>
      <c r="C2" s="5">
        <f>SUMIFS(Table1[Total Amount],Table1[Product Name],'Product-Wise Summary'!A2)</f>
        <v>700000</v>
      </c>
      <c r="D2" s="6">
        <f>AVERAGEIFS(Table1[Unit Price],Table1[Product Name],'Product-Wise Summary'!A2)</f>
        <v>50000</v>
      </c>
      <c r="E2" s="7">
        <f t="shared" ref="E2:E7" si="0">C2/$C$8</f>
        <v>0.40497541220711597</v>
      </c>
    </row>
    <row r="3" spans="1:5" x14ac:dyDescent="0.2">
      <c r="A3" t="s">
        <v>15</v>
      </c>
      <c r="B3">
        <f>SUMIFS(Table1[Quantity],Table1[Product Name],'Product-Wise Summary'!A3)</f>
        <v>23</v>
      </c>
      <c r="C3" s="5">
        <f>SUMIFS(Table1[Total Amount],Table1[Product Name],'Product-Wise Summary'!A3)</f>
        <v>460000</v>
      </c>
      <c r="D3" s="6">
        <f>AVERAGEIFS(Table1[Unit Price],Table1[Product Name],'Product-Wise Summary'!A3)</f>
        <v>20000</v>
      </c>
      <c r="E3" s="7">
        <f t="shared" si="0"/>
        <v>0.26612669945039052</v>
      </c>
    </row>
    <row r="4" spans="1:5" x14ac:dyDescent="0.2">
      <c r="A4" t="s">
        <v>19</v>
      </c>
      <c r="B4">
        <f>SUMIFS(Table1[Quantity],Table1[Product Name],'Product-Wise Summary'!A4)</f>
        <v>13</v>
      </c>
      <c r="C4" s="5">
        <f>SUMIFS(Table1[Total Amount],Table1[Product Name],'Product-Wise Summary'!A4)</f>
        <v>390000</v>
      </c>
      <c r="D4" s="6">
        <f>AVERAGEIFS(Table1[Unit Price],Table1[Product Name],'Product-Wise Summary'!A4)</f>
        <v>30000</v>
      </c>
      <c r="E4" s="7">
        <f t="shared" si="0"/>
        <v>0.22562915822967891</v>
      </c>
    </row>
    <row r="5" spans="1:5" x14ac:dyDescent="0.2">
      <c r="A5" t="s">
        <v>22</v>
      </c>
      <c r="B5">
        <f>SUMIFS(Table1[Quantity],Table1[Product Name],'Product-Wise Summary'!A5)</f>
        <v>7</v>
      </c>
      <c r="C5" s="5">
        <f>SUMIFS(Table1[Total Amount],Table1[Product Name],'Product-Wise Summary'!A5)</f>
        <v>105000</v>
      </c>
      <c r="D5" s="6">
        <f>AVERAGEIFS(Table1[Unit Price],Table1[Product Name],'Product-Wise Summary'!A5)</f>
        <v>15000</v>
      </c>
      <c r="E5" s="7">
        <f t="shared" si="0"/>
        <v>6.07463118310674E-2</v>
      </c>
    </row>
    <row r="6" spans="1:5" x14ac:dyDescent="0.2">
      <c r="A6" t="s">
        <v>29</v>
      </c>
      <c r="B6">
        <f>SUMIFS(Table1[Quantity],Table1[Product Name],'Product-Wise Summary'!A6)</f>
        <v>45</v>
      </c>
      <c r="C6" s="5">
        <f>SUMIFS(Table1[Total Amount],Table1[Product Name],'Product-Wise Summary'!A6)</f>
        <v>36000</v>
      </c>
      <c r="D6" s="6">
        <f>AVERAGEIFS(Table1[Unit Price],Table1[Product Name],'Product-Wise Summary'!A6)</f>
        <v>800</v>
      </c>
      <c r="E6" s="7">
        <f t="shared" si="0"/>
        <v>2.0827306913508821E-2</v>
      </c>
    </row>
    <row r="7" spans="1:5" x14ac:dyDescent="0.2">
      <c r="A7" t="s">
        <v>31</v>
      </c>
      <c r="B7">
        <f>SUMIFS(Table1[Quantity],Table1[Product Name],'Product-Wise Summary'!A7)</f>
        <v>25</v>
      </c>
      <c r="C7" s="5">
        <f>SUMIFS(Table1[Total Amount],Table1[Product Name],'Product-Wise Summary'!A7)</f>
        <v>37500</v>
      </c>
      <c r="D7" s="6">
        <f>AVERAGEIFS(Table1[Unit Price],Table1[Product Name],'Product-Wise Summary'!A7)</f>
        <v>1500</v>
      </c>
      <c r="E7" s="7">
        <f t="shared" si="0"/>
        <v>2.1695111368238356E-2</v>
      </c>
    </row>
    <row r="8" spans="1:5" x14ac:dyDescent="0.2">
      <c r="C8" s="8">
        <f>SUM(C2:C7)</f>
        <v>1728500</v>
      </c>
      <c r="D8" s="6"/>
      <c r="E8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M12" sqref="M12"/>
    </sheetView>
  </sheetViews>
  <sheetFormatPr defaultRowHeight="14.25" x14ac:dyDescent="0.2"/>
  <cols>
    <col min="1" max="1" width="11.375" customWidth="1"/>
    <col min="2" max="2" width="13.375" customWidth="1"/>
    <col min="3" max="3" width="10.75" customWidth="1"/>
  </cols>
  <sheetData>
    <row r="1" spans="1:5" ht="18" x14ac:dyDescent="0.25">
      <c r="A1" s="15" t="s">
        <v>49</v>
      </c>
      <c r="B1" s="15"/>
      <c r="C1" s="15"/>
      <c r="D1" s="15"/>
      <c r="E1" s="15"/>
    </row>
    <row r="2" spans="1:5" x14ac:dyDescent="0.2">
      <c r="A2" s="16" t="s">
        <v>50</v>
      </c>
    </row>
    <row r="4" spans="1:5" x14ac:dyDescent="0.2">
      <c r="A4" t="s">
        <v>46</v>
      </c>
      <c r="B4" s="6">
        <f>SUM(Table1[Total Amount])</f>
        <v>1728500</v>
      </c>
    </row>
    <row r="5" spans="1:5" x14ac:dyDescent="0.2">
      <c r="A5" t="s">
        <v>51</v>
      </c>
      <c r="B5">
        <f>SUM(Table1[Quantity])</f>
        <v>127</v>
      </c>
    </row>
    <row r="6" spans="1:5" x14ac:dyDescent="0.2">
      <c r="A6" t="s">
        <v>52</v>
      </c>
      <c r="B6" t="str">
        <f>INDEX(Table2[[Product Name ]],MATCH(MAX(Table2[[ Total Sales ]]),Table2[[ Total Sales ]],0))</f>
        <v>Laptop</v>
      </c>
    </row>
    <row r="9" spans="1:5" ht="15.75" x14ac:dyDescent="0.25">
      <c r="A9" s="14" t="s">
        <v>48</v>
      </c>
      <c r="B9" s="14"/>
      <c r="C9" s="14"/>
    </row>
    <row r="11" spans="1:5" x14ac:dyDescent="0.2">
      <c r="A11" s="10" t="s">
        <v>47</v>
      </c>
      <c r="B11" t="s">
        <v>45</v>
      </c>
      <c r="C11" t="s">
        <v>46</v>
      </c>
    </row>
    <row r="12" spans="1:5" x14ac:dyDescent="0.2">
      <c r="A12" s="11" t="s">
        <v>10</v>
      </c>
      <c r="B12" s="12">
        <v>14</v>
      </c>
      <c r="C12" s="13">
        <v>0.40497541220711597</v>
      </c>
    </row>
    <row r="13" spans="1:5" x14ac:dyDescent="0.2">
      <c r="A13" s="11" t="s">
        <v>15</v>
      </c>
      <c r="B13" s="12">
        <v>23</v>
      </c>
      <c r="C13" s="13">
        <v>0.26612669945039052</v>
      </c>
    </row>
    <row r="14" spans="1:5" x14ac:dyDescent="0.2">
      <c r="A14" s="11" t="s">
        <v>19</v>
      </c>
      <c r="B14" s="12">
        <v>13</v>
      </c>
      <c r="C14" s="13">
        <v>0.22562915822967891</v>
      </c>
    </row>
    <row r="15" spans="1:5" x14ac:dyDescent="0.2">
      <c r="A15" s="11" t="s">
        <v>22</v>
      </c>
      <c r="B15" s="12">
        <v>7</v>
      </c>
      <c r="C15" s="13">
        <v>6.07463118310674E-2</v>
      </c>
    </row>
    <row r="16" spans="1:5" x14ac:dyDescent="0.2">
      <c r="A16" s="11" t="s">
        <v>31</v>
      </c>
      <c r="B16" s="12">
        <v>25</v>
      </c>
      <c r="C16" s="13">
        <v>2.1695111368238356E-2</v>
      </c>
    </row>
    <row r="17" spans="1:3" x14ac:dyDescent="0.2">
      <c r="A17" s="11" t="s">
        <v>29</v>
      </c>
      <c r="B17" s="12">
        <v>45</v>
      </c>
      <c r="C17" s="13">
        <v>2.0827306913508821E-2</v>
      </c>
    </row>
    <row r="18" spans="1:3" x14ac:dyDescent="0.2">
      <c r="A18" s="11" t="s">
        <v>44</v>
      </c>
      <c r="B18" s="12">
        <v>127</v>
      </c>
      <c r="C18" s="13">
        <v>1</v>
      </c>
    </row>
    <row r="19" spans="1:3" x14ac:dyDescent="0.2">
      <c r="A19" s="11"/>
      <c r="B19" s="13"/>
    </row>
  </sheetData>
  <mergeCells count="2">
    <mergeCell ref="A9:C9"/>
    <mergeCell ref="A1:E1"/>
  </mergeCells>
  <conditionalFormatting pivot="1" sqref="C12:C17">
    <cfRule type="cellIs" dxfId="0" priority="6" operator="greaterThan">
      <formula>0.2129</formula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Product-Wise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2026-02-23T15:19:28Z</dcterms:created>
  <dcterms:modified xsi:type="dcterms:W3CDTF">2026-02-24T12:47:49Z</dcterms:modified>
</cp:coreProperties>
</file>